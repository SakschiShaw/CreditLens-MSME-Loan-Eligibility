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a94a010bfca926/Documents/"/>
    </mc:Choice>
  </mc:AlternateContent>
  <xr:revisionPtr revIDLastSave="4" documentId="8_{19CBBE51-673B-455A-A0BE-D1A6CB689086}" xr6:coauthVersionLast="47" xr6:coauthVersionMax="47" xr10:uidLastSave="{7B26EBFD-FCE7-4330-AC53-C6A2E23BD109}"/>
  <bookViews>
    <workbookView xWindow="-108" yWindow="-108" windowWidth="23256" windowHeight="12456" activeTab="1" xr2:uid="{BADA8D67-06D8-40DF-9A64-77B3135299A1}"/>
  </bookViews>
  <sheets>
    <sheet name="Raw_Data" sheetId="1" r:id="rId1"/>
    <sheet name="Loan_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K15" i="3"/>
  <c r="G15" i="3"/>
  <c r="F15" i="3"/>
  <c r="E15" i="3"/>
  <c r="D15" i="3"/>
  <c r="B15" i="3"/>
  <c r="K13" i="3"/>
  <c r="G13" i="3"/>
  <c r="F13" i="3"/>
  <c r="E13" i="3"/>
  <c r="D13" i="3"/>
  <c r="B13" i="3"/>
  <c r="K22" i="3"/>
  <c r="G22" i="3"/>
  <c r="F22" i="3"/>
  <c r="E22" i="3"/>
  <c r="D22" i="3"/>
  <c r="B22" i="3"/>
  <c r="K4" i="3"/>
  <c r="G4" i="3"/>
  <c r="F4" i="3"/>
  <c r="E4" i="3"/>
  <c r="D4" i="3"/>
  <c r="B4" i="3"/>
  <c r="K16" i="3"/>
  <c r="G16" i="3"/>
  <c r="F16" i="3"/>
  <c r="E16" i="3"/>
  <c r="D16" i="3"/>
  <c r="B16" i="3"/>
  <c r="K17" i="3"/>
  <c r="G17" i="3"/>
  <c r="F17" i="3"/>
  <c r="E17" i="3"/>
  <c r="D17" i="3"/>
  <c r="B17" i="3"/>
  <c r="K24" i="3"/>
  <c r="G24" i="3"/>
  <c r="F24" i="3"/>
  <c r="E24" i="3"/>
  <c r="D24" i="3"/>
  <c r="B24" i="3"/>
  <c r="K25" i="3"/>
  <c r="G25" i="3"/>
  <c r="F25" i="3"/>
  <c r="E25" i="3"/>
  <c r="D25" i="3"/>
  <c r="B25" i="3"/>
  <c r="K29" i="3"/>
  <c r="G29" i="3"/>
  <c r="F29" i="3"/>
  <c r="E29" i="3"/>
  <c r="D29" i="3"/>
  <c r="B29" i="3"/>
  <c r="K5" i="3"/>
  <c r="G5" i="3"/>
  <c r="F5" i="3"/>
  <c r="E5" i="3"/>
  <c r="D5" i="3"/>
  <c r="B5" i="3"/>
  <c r="K14" i="3"/>
  <c r="G14" i="3"/>
  <c r="F14" i="3"/>
  <c r="E14" i="3"/>
  <c r="D14" i="3"/>
  <c r="B14" i="3"/>
  <c r="K10" i="3"/>
  <c r="G10" i="3"/>
  <c r="F10" i="3"/>
  <c r="E10" i="3"/>
  <c r="D10" i="3"/>
  <c r="B10" i="3"/>
  <c r="K18" i="3"/>
  <c r="G18" i="3"/>
  <c r="F18" i="3"/>
  <c r="E18" i="3"/>
  <c r="D18" i="3"/>
  <c r="B18" i="3"/>
  <c r="K9" i="3"/>
  <c r="G9" i="3"/>
  <c r="F9" i="3"/>
  <c r="E9" i="3"/>
  <c r="D9" i="3"/>
  <c r="B9" i="3"/>
  <c r="K26" i="3"/>
  <c r="G26" i="3"/>
  <c r="F26" i="3"/>
  <c r="E26" i="3"/>
  <c r="D26" i="3"/>
  <c r="B26" i="3"/>
  <c r="K7" i="3"/>
  <c r="G7" i="3"/>
  <c r="F7" i="3"/>
  <c r="E7" i="3"/>
  <c r="D7" i="3"/>
  <c r="B7" i="3"/>
  <c r="K12" i="3"/>
  <c r="G12" i="3"/>
  <c r="F12" i="3"/>
  <c r="E12" i="3"/>
  <c r="D12" i="3"/>
  <c r="B12" i="3"/>
  <c r="K8" i="3"/>
  <c r="G8" i="3"/>
  <c r="F8" i="3"/>
  <c r="E8" i="3"/>
  <c r="D8" i="3"/>
  <c r="B8" i="3"/>
  <c r="K21" i="3"/>
  <c r="G21" i="3"/>
  <c r="F21" i="3"/>
  <c r="E21" i="3"/>
  <c r="D21" i="3"/>
  <c r="B21" i="3"/>
  <c r="K3" i="3"/>
  <c r="G3" i="3"/>
  <c r="F3" i="3"/>
  <c r="E3" i="3"/>
  <c r="D3" i="3"/>
  <c r="B3" i="3"/>
  <c r="K28" i="3"/>
  <c r="G28" i="3"/>
  <c r="F28" i="3"/>
  <c r="E28" i="3"/>
  <c r="D28" i="3"/>
  <c r="B28" i="3"/>
  <c r="K23" i="3"/>
  <c r="G23" i="3"/>
  <c r="F23" i="3"/>
  <c r="E23" i="3"/>
  <c r="D23" i="3"/>
  <c r="B23" i="3"/>
  <c r="K20" i="3"/>
  <c r="G20" i="3"/>
  <c r="F20" i="3"/>
  <c r="E20" i="3"/>
  <c r="D20" i="3"/>
  <c r="B20" i="3"/>
  <c r="K2" i="3"/>
  <c r="G2" i="3"/>
  <c r="F2" i="3"/>
  <c r="E2" i="3"/>
  <c r="D2" i="3"/>
  <c r="B2" i="3"/>
  <c r="K30" i="3"/>
  <c r="G30" i="3"/>
  <c r="F30" i="3"/>
  <c r="E30" i="3"/>
  <c r="D30" i="3"/>
  <c r="B30" i="3"/>
  <c r="K27" i="3"/>
  <c r="G27" i="3"/>
  <c r="F27" i="3"/>
  <c r="E27" i="3"/>
  <c r="D27" i="3"/>
  <c r="B27" i="3"/>
  <c r="K19" i="3"/>
  <c r="G19" i="3"/>
  <c r="F19" i="3"/>
  <c r="E19" i="3"/>
  <c r="D19" i="3"/>
  <c r="B19" i="3"/>
  <c r="K6" i="3"/>
  <c r="G6" i="3"/>
  <c r="F6" i="3"/>
  <c r="E6" i="3"/>
  <c r="D6" i="3"/>
  <c r="B6" i="3"/>
  <c r="K11" i="3"/>
  <c r="G11" i="3"/>
  <c r="F11" i="3"/>
  <c r="E11" i="3"/>
  <c r="D11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I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2" i="1"/>
  <c r="J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2" i="1"/>
  <c r="H11" i="3" l="1"/>
  <c r="I11" i="3"/>
  <c r="J11" i="3" s="1"/>
  <c r="I30" i="3"/>
  <c r="J30" i="3" s="1"/>
  <c r="I21" i="3"/>
  <c r="J21" i="3" s="1"/>
  <c r="I12" i="3"/>
  <c r="J12" i="3" s="1"/>
  <c r="I14" i="3"/>
  <c r="J14" i="3" s="1"/>
  <c r="I22" i="3"/>
  <c r="J22" i="3" s="1"/>
  <c r="I6" i="3"/>
  <c r="J6" i="3" s="1"/>
  <c r="I27" i="3"/>
  <c r="J27" i="3" s="1"/>
  <c r="I3" i="3"/>
  <c r="J3" i="3" s="1"/>
  <c r="I9" i="3"/>
  <c r="J9" i="3" s="1"/>
  <c r="I25" i="3"/>
  <c r="J25" i="3" s="1"/>
  <c r="I13" i="3"/>
  <c r="J13" i="3" s="1"/>
  <c r="L19" i="3"/>
  <c r="L20" i="3"/>
  <c r="L28" i="3"/>
  <c r="L12" i="3"/>
  <c r="L26" i="3"/>
  <c r="L14" i="3"/>
  <c r="L29" i="3"/>
  <c r="L16" i="3"/>
  <c r="L2" i="3"/>
  <c r="L8" i="3"/>
  <c r="L10" i="3"/>
  <c r="L17" i="3"/>
  <c r="L22" i="3"/>
  <c r="L11" i="3"/>
  <c r="L26" i="1"/>
  <c r="L14" i="1"/>
  <c r="H19" i="3"/>
  <c r="H20" i="3"/>
  <c r="H28" i="3"/>
  <c r="H26" i="3"/>
  <c r="H18" i="3"/>
  <c r="H29" i="3"/>
  <c r="H24" i="3"/>
  <c r="H16" i="3"/>
  <c r="H22" i="3"/>
  <c r="I15" i="3"/>
  <c r="J15" i="3" s="1"/>
  <c r="I19" i="3"/>
  <c r="J19" i="3" s="1"/>
  <c r="I28" i="3"/>
  <c r="J28" i="3" s="1"/>
  <c r="I26" i="3"/>
  <c r="J26" i="3" s="1"/>
  <c r="I29" i="3"/>
  <c r="J29" i="3" s="1"/>
  <c r="L7" i="3"/>
  <c r="L5" i="3"/>
  <c r="L4" i="3"/>
  <c r="L21" i="3"/>
  <c r="L18" i="3"/>
  <c r="L24" i="3"/>
  <c r="L13" i="3"/>
  <c r="H27" i="3"/>
  <c r="I2" i="3"/>
  <c r="J2" i="3" s="1"/>
  <c r="I23" i="3"/>
  <c r="J23" i="3" s="1"/>
  <c r="H3" i="3"/>
  <c r="I8" i="3"/>
  <c r="J8" i="3" s="1"/>
  <c r="H7" i="3"/>
  <c r="H9" i="3"/>
  <c r="I10" i="3"/>
  <c r="J10" i="3" s="1"/>
  <c r="I5" i="3"/>
  <c r="J5" i="3" s="1"/>
  <c r="H25" i="3"/>
  <c r="H17" i="3"/>
  <c r="I4" i="3"/>
  <c r="J4" i="3" s="1"/>
  <c r="H13" i="3"/>
  <c r="L6" i="3"/>
  <c r="L27" i="3"/>
  <c r="L23" i="3"/>
  <c r="L3" i="3"/>
  <c r="L9" i="3"/>
  <c r="L25" i="3"/>
  <c r="L30" i="3"/>
  <c r="L15" i="3"/>
  <c r="L2" i="1"/>
  <c r="H6" i="3"/>
  <c r="H5" i="3"/>
  <c r="H12" i="3"/>
  <c r="I16" i="3"/>
  <c r="J16" i="3" s="1"/>
  <c r="H2" i="3"/>
  <c r="H8" i="3"/>
  <c r="H10" i="3"/>
  <c r="I17" i="3"/>
  <c r="J17" i="3" s="1"/>
  <c r="H30" i="3"/>
  <c r="H21" i="3"/>
  <c r="H15" i="3"/>
  <c r="I18" i="3"/>
  <c r="J18" i="3" s="1"/>
  <c r="I24" i="3"/>
  <c r="J24" i="3" s="1"/>
  <c r="H23" i="3"/>
  <c r="I7" i="3"/>
  <c r="J7" i="3" s="1"/>
  <c r="H14" i="3"/>
  <c r="I20" i="3"/>
  <c r="J20" i="3" s="1"/>
  <c r="H4" i="3"/>
  <c r="L28" i="1"/>
  <c r="L16" i="1"/>
  <c r="L30" i="1"/>
  <c r="L18" i="1"/>
  <c r="L6" i="1"/>
  <c r="L29" i="1"/>
  <c r="L17" i="1"/>
  <c r="L5" i="1"/>
  <c r="L4" i="1"/>
  <c r="L27" i="1"/>
  <c r="L15" i="1"/>
  <c r="L25" i="1"/>
  <c r="L13" i="1"/>
  <c r="L21" i="1"/>
  <c r="L9" i="1"/>
  <c r="L24" i="1"/>
  <c r="L12" i="1"/>
  <c r="L20" i="1"/>
  <c r="L8" i="1"/>
  <c r="L23" i="1"/>
  <c r="L11" i="1"/>
  <c r="L19" i="1"/>
  <c r="L7" i="1"/>
  <c r="L22" i="1"/>
  <c r="L10" i="1"/>
  <c r="L3" i="1"/>
  <c r="I21" i="1"/>
  <c r="J21" i="1" s="1"/>
  <c r="I25" i="1"/>
  <c r="J25" i="1" s="1"/>
  <c r="I13" i="1"/>
  <c r="J13" i="1" s="1"/>
  <c r="I23" i="1"/>
  <c r="J23" i="1" s="1"/>
  <c r="I24" i="1"/>
  <c r="J24" i="1" s="1"/>
  <c r="I22" i="1"/>
  <c r="J22" i="1" s="1"/>
  <c r="I5" i="1"/>
  <c r="J5" i="1" s="1"/>
  <c r="I10" i="1"/>
  <c r="J10" i="1" s="1"/>
  <c r="I9" i="1"/>
  <c r="J9" i="1" s="1"/>
  <c r="I20" i="1"/>
  <c r="J20" i="1" s="1"/>
  <c r="I18" i="1"/>
  <c r="J18" i="1" s="1"/>
  <c r="I29" i="1"/>
  <c r="J29" i="1" s="1"/>
  <c r="I17" i="1"/>
  <c r="J17" i="1" s="1"/>
  <c r="I28" i="1"/>
  <c r="J28" i="1" s="1"/>
  <c r="I16" i="1"/>
  <c r="J16" i="1" s="1"/>
  <c r="I26" i="1"/>
  <c r="J26" i="1" s="1"/>
  <c r="I14" i="1"/>
  <c r="J14" i="1" s="1"/>
  <c r="I7" i="1"/>
  <c r="J7" i="1" s="1"/>
  <c r="I6" i="1"/>
  <c r="J6" i="1" s="1"/>
  <c r="I27" i="1"/>
  <c r="J27" i="1" s="1"/>
  <c r="I15" i="1"/>
  <c r="J15" i="1" s="1"/>
  <c r="I3" i="1"/>
  <c r="J3" i="1" s="1"/>
  <c r="I8" i="1"/>
  <c r="J8" i="1" s="1"/>
  <c r="H19" i="1"/>
  <c r="I30" i="1"/>
  <c r="J30" i="1" s="1"/>
  <c r="I12" i="1"/>
  <c r="J12" i="1" s="1"/>
  <c r="I11" i="1"/>
  <c r="J11" i="1" s="1"/>
  <c r="I19" i="1"/>
  <c r="J19" i="1" s="1"/>
  <c r="I4" i="1"/>
  <c r="J4" i="1" s="1"/>
  <c r="H22" i="1"/>
  <c r="H10" i="1"/>
  <c r="H23" i="1"/>
  <c r="H11" i="1"/>
  <c r="H30" i="1"/>
  <c r="H7" i="1"/>
  <c r="H18" i="1"/>
  <c r="H6" i="1"/>
  <c r="H21" i="1"/>
  <c r="H9" i="1"/>
  <c r="H29" i="1"/>
  <c r="H17" i="1"/>
  <c r="H5" i="1"/>
  <c r="H16" i="1"/>
  <c r="H26" i="1"/>
  <c r="H14" i="1"/>
  <c r="H4" i="1"/>
  <c r="H15" i="1"/>
  <c r="H3" i="1"/>
  <c r="H20" i="1"/>
  <c r="H8" i="1"/>
  <c r="H25" i="1"/>
  <c r="H13" i="1"/>
  <c r="H28" i="1"/>
  <c r="H27" i="1"/>
  <c r="H24" i="1"/>
  <c r="H12" i="1"/>
</calcChain>
</file>

<file path=xl/sharedStrings.xml><?xml version="1.0" encoding="utf-8"?>
<sst xmlns="http://schemas.openxmlformats.org/spreadsheetml/2006/main" count="140" uniqueCount="45">
  <si>
    <t>Application_ID</t>
  </si>
  <si>
    <t>Application_Date</t>
  </si>
  <si>
    <t>Business_Type</t>
  </si>
  <si>
    <t>Annual_Turnover</t>
  </si>
  <si>
    <t>CIBIL_Score</t>
  </si>
  <si>
    <t>Business_Vintage_Years</t>
  </si>
  <si>
    <t>Existing_Loan_Amount</t>
  </si>
  <si>
    <t>Eligibility_Status</t>
  </si>
  <si>
    <t>Risk_Flag</t>
  </si>
  <si>
    <t>Risk_Reason</t>
  </si>
  <si>
    <t>Processing_Time_Days</t>
  </si>
  <si>
    <t>Decision_Date</t>
  </si>
  <si>
    <t>APP001</t>
  </si>
  <si>
    <t>APP002</t>
  </si>
  <si>
    <t>APP003</t>
  </si>
  <si>
    <t>APP004</t>
  </si>
  <si>
    <t>APP005</t>
  </si>
  <si>
    <t>APP006</t>
  </si>
  <si>
    <t>APP007</t>
  </si>
  <si>
    <t>APP008</t>
  </si>
  <si>
    <t>APP009</t>
  </si>
  <si>
    <t>APP010</t>
  </si>
  <si>
    <t>APP011</t>
  </si>
  <si>
    <t>APP012</t>
  </si>
  <si>
    <t>APP013</t>
  </si>
  <si>
    <t>APP014</t>
  </si>
  <si>
    <t>APP015</t>
  </si>
  <si>
    <t>APP016</t>
  </si>
  <si>
    <t>APP017</t>
  </si>
  <si>
    <t>APP018</t>
  </si>
  <si>
    <t>APP019</t>
  </si>
  <si>
    <t>APP020</t>
  </si>
  <si>
    <t>APP021</t>
  </si>
  <si>
    <t>APP022</t>
  </si>
  <si>
    <t>APP023</t>
  </si>
  <si>
    <t>APP024</t>
  </si>
  <si>
    <t>APP025</t>
  </si>
  <si>
    <t>APP026</t>
  </si>
  <si>
    <t>APP027</t>
  </si>
  <si>
    <t>APP028</t>
  </si>
  <si>
    <t>APP029</t>
  </si>
  <si>
    <t>manufacturing</t>
  </si>
  <si>
    <t>trading</t>
  </si>
  <si>
    <t>service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</si>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</sst>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3"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067083-63DC-4EC1-818A-FDF62B0CAB84}" name="Table2" displayName="Table2" ref="A1:L30" totalsRowShown="0">
  <sortState xmlns:xlrd2="http://schemas.microsoft.com/office/spreadsheetml/2017/richdata2" ref="A2:L30">
    <sortCondition descending="1" ref="B1:B30"/>
  </sortState>
  <tableColumns count="12">
    <tableColumn id="1" xr3:uid="{6AC6742C-09D1-483B-9AF2-B622F98EA88B}" name="Column1"/>
    <tableColumn id="2" xr3:uid="{2A1033EA-2539-4EFF-86F8-05FEB7968265}" name="Application_Date" dataDxfId="2">
      <calculatedColumnFormula>DATE(2025,11,RANDBETWEEN(1,30))</calculatedColumnFormula>
    </tableColumn>
    <tableColumn id="3" xr3:uid="{4F0954F1-EC2B-4D16-BA25-2E1BAB0C255D}" name="Business_Type" dataDxfId="1"/>
    <tableColumn id="4" xr3:uid="{6CBEB7DC-2461-450D-B4AA-8683315F7E82}" name="Annual_Turnover">
      <calculatedColumnFormula>RANDBETWEEN(15,200)</calculatedColumnFormula>
    </tableColumn>
    <tableColumn id="5" xr3:uid="{0B8115B9-EC54-4D7E-B4B2-CAB7DDEA1403}" name="CIBIL_Score">
      <calculatedColumnFormula>RANDBETWEEN(550,850)</calculatedColumnFormula>
    </tableColumn>
    <tableColumn id="6" xr3:uid="{370124E9-119A-48E2-A9B8-2D0E92271F3A}" name="Business_Vintage_Years">
      <calculatedColumnFormula>RANDBETWEEN(1,10)</calculatedColumnFormula>
    </tableColumn>
    <tableColumn id="7" xr3:uid="{D0CC7112-5EFD-4CE0-90B4-723B9847C939}" name="Existing_Loan_Amount">
      <calculatedColumnFormula>RANDBETWEEN(0,80)</calculatedColumnFormula>
    </tableColumn>
    <tableColumn id="8" xr3:uid="{057ECF0F-A9FE-4000-A782-7B792EA7326A}" name="Eligibility_Status">
      <calculatedColumnFormula>IF(AND(E1&gt;=650,D1&gt;=25,F1&gt;=3),"Eligible", "Rejected")</calculatedColumnFormula>
    </tableColumn>
    <tableColumn id="9" xr3:uid="{98482E57-D8CD-48AB-8054-068D0CBF586A}" name="Risk_Flag">
      <calculatedColumnFormula>IF(OR(E1 &lt; 650,G1 &gt; 50), "Yes", "No")</calculatedColumnFormula>
    </tableColumn>
    <tableColumn id="10" xr3:uid="{27544132-A049-443C-B06A-2A5C949C4E45}" name="Risk_Reason">
      <calculatedColumnFormula>IF(I2="No","NA",IF(E2&lt;650,"Low CIBIL","High Obligation"))</calculatedColumnFormula>
    </tableColumn>
    <tableColumn id="11" xr3:uid="{AD30AB8C-C665-4720-86A8-0DA2A067E84F}" name="Processing_Time_Days">
      <calculatedColumnFormula>RANDBETWEEN(1,7)</calculatedColumnFormula>
    </tableColumn>
    <tableColumn id="12" xr3:uid="{84A7112E-458F-403A-81AF-C0BC34C4A5E2}" name="Decision_Date" dataDxfId="0">
      <calculatedColumnFormula>B2+K2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41D98-C6ED-4786-85DC-59FCFA53EA8F}">
  <dimension ref="A1:L31"/>
  <sheetViews>
    <sheetView workbookViewId="0">
      <selection activeCell="E1" sqref="E1"/>
    </sheetView>
  </sheetViews>
  <sheetFormatPr defaultRowHeight="14.4" x14ac:dyDescent="0.3"/>
  <cols>
    <col min="1" max="1" width="12.44140625" bestFit="1" customWidth="1"/>
    <col min="2" max="2" width="14.6640625" bestFit="1" customWidth="1"/>
    <col min="3" max="3" width="12.6640625" bestFit="1" customWidth="1"/>
    <col min="4" max="4" width="14.44140625" bestFit="1" customWidth="1"/>
    <col min="5" max="5" width="10.5546875" bestFit="1" customWidth="1"/>
    <col min="6" max="6" width="20.5546875" bestFit="1" customWidth="1"/>
    <col min="7" max="7" width="18.88671875" bestFit="1" customWidth="1"/>
    <col min="8" max="8" width="13.77734375" bestFit="1" customWidth="1"/>
    <col min="9" max="9" width="8.44140625" bestFit="1" customWidth="1"/>
    <col min="10" max="10" width="13.21875" bestFit="1" customWidth="1"/>
    <col min="11" max="11" width="19.44140625" bestFit="1" customWidth="1"/>
    <col min="12" max="12" width="12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12" x14ac:dyDescent="0.3">
      <c r="A2" t="s">
        <v>12</v>
      </c>
      <c r="B2" s="1">
        <f ca="1">DATE(2025,11,RANDBETWEEN(1,30))</f>
        <v>45973</v>
      </c>
      <c r="C2" s="2" t="s">
        <v>41</v>
      </c>
      <c r="D2">
        <f ca="1">RANDBETWEEN(15,200)</f>
        <v>101</v>
      </c>
      <c r="E2">
        <f ca="1">RANDBETWEEN(550,850)</f>
        <v>847</v>
      </c>
      <c r="F2">
        <f ca="1">RANDBETWEEN(1,10)</f>
        <v>1</v>
      </c>
      <c r="G2">
        <f ca="1">RANDBETWEEN(0,80)</f>
        <v>26</v>
      </c>
      <c r="H2" t="str">
        <f>IF(AND(E1&gt;=650,D1&gt;=25,F1&gt;=3),"Eligible", "Rejected")</f>
        <v>Eligible</v>
      </c>
      <c r="I2" t="str">
        <f>IF(OR(E1 &lt; 650,G1 &gt; 50), "Yes", "No")</f>
        <v>Yes</v>
      </c>
      <c r="J2" t="str">
        <f ca="1">IF(I2="No","NA",IF(E2&lt;650,"Low CIBIL","High Obligation"))</f>
        <v>High Obligation</v>
      </c>
      <c r="K2">
        <f ca="1">RANDBETWEEN(1,7)</f>
        <v>2</v>
      </c>
      <c r="L2" s="1">
        <f ca="1">B2+K2</f>
        <v>45975</v>
      </c>
    </row>
    <row r="3" spans="1:12" x14ac:dyDescent="0.3">
      <c r="A3" t="s">
        <v>13</v>
      </c>
      <c r="B3" s="1">
        <f t="shared" ref="B3:B30" ca="1" si="0">DATE(2025,11,RANDBETWEEN(1,30))</f>
        <v>45968</v>
      </c>
      <c r="C3" s="2" t="s">
        <v>42</v>
      </c>
      <c r="D3">
        <f t="shared" ref="D3:D30" ca="1" si="1">RANDBETWEEN(15,200)</f>
        <v>123</v>
      </c>
      <c r="E3">
        <f t="shared" ref="E3:E30" ca="1" si="2">RANDBETWEEN(550,850)</f>
        <v>641</v>
      </c>
      <c r="F3">
        <f t="shared" ref="F3:F30" ca="1" si="3">RANDBETWEEN(1,10)</f>
        <v>1</v>
      </c>
      <c r="G3">
        <f t="shared" ref="G3:G30" ca="1" si="4">RANDBETWEEN(0,80)</f>
        <v>15</v>
      </c>
      <c r="H3" t="str">
        <f t="shared" ref="H3:H30" ca="1" si="5">IF(AND(E2&gt;=650,D2&gt;=25,F2&gt;=3),"Eligible", "Rejected")</f>
        <v>Rejected</v>
      </c>
      <c r="I3" t="str">
        <f t="shared" ref="I3:I30" ca="1" si="6">IF(OR(E2 &lt; 650,G2 &gt; 50), "Yes", "No")</f>
        <v>No</v>
      </c>
      <c r="J3" t="str">
        <f t="shared" ref="J3:J30" ca="1" si="7">IF(I3="No","NA",IF(E3&lt;650,"Low CIBIL","High Obligation"))</f>
        <v>NA</v>
      </c>
      <c r="K3">
        <f t="shared" ref="K3:K30" ca="1" si="8">RANDBETWEEN(1,7)</f>
        <v>6</v>
      </c>
      <c r="L3" s="1">
        <f ca="1">B3+K3</f>
        <v>45974</v>
      </c>
    </row>
    <row r="4" spans="1:12" x14ac:dyDescent="0.3">
      <c r="A4" t="s">
        <v>14</v>
      </c>
      <c r="B4" s="1">
        <f t="shared" ca="1" si="0"/>
        <v>45981</v>
      </c>
      <c r="C4" s="2" t="s">
        <v>43</v>
      </c>
      <c r="D4">
        <f t="shared" ca="1" si="1"/>
        <v>187</v>
      </c>
      <c r="E4">
        <f t="shared" ca="1" si="2"/>
        <v>715</v>
      </c>
      <c r="F4">
        <f t="shared" ca="1" si="3"/>
        <v>10</v>
      </c>
      <c r="G4">
        <f t="shared" ca="1" si="4"/>
        <v>74</v>
      </c>
      <c r="H4" t="str">
        <f t="shared" ca="1" si="5"/>
        <v>Rejected</v>
      </c>
      <c r="I4" t="str">
        <f t="shared" ca="1" si="6"/>
        <v>Yes</v>
      </c>
      <c r="J4" t="str">
        <f t="shared" ca="1" si="7"/>
        <v>High Obligation</v>
      </c>
      <c r="K4">
        <f t="shared" ca="1" si="8"/>
        <v>1</v>
      </c>
      <c r="L4" s="1">
        <f t="shared" ref="L4:L30" ca="1" si="9">B4+K4</f>
        <v>45982</v>
      </c>
    </row>
    <row r="5" spans="1:12" x14ac:dyDescent="0.3">
      <c r="A5" t="s">
        <v>15</v>
      </c>
      <c r="B5" s="1">
        <f t="shared" ca="1" si="0"/>
        <v>45984</v>
      </c>
      <c r="C5" s="2" t="s">
        <v>41</v>
      </c>
      <c r="D5">
        <f t="shared" ca="1" si="1"/>
        <v>88</v>
      </c>
      <c r="E5">
        <f t="shared" ca="1" si="2"/>
        <v>575</v>
      </c>
      <c r="F5">
        <f t="shared" ca="1" si="3"/>
        <v>10</v>
      </c>
      <c r="G5">
        <f t="shared" ca="1" si="4"/>
        <v>7</v>
      </c>
      <c r="H5" t="str">
        <f t="shared" ca="1" si="5"/>
        <v>Eligible</v>
      </c>
      <c r="I5" t="str">
        <f t="shared" ca="1" si="6"/>
        <v>Yes</v>
      </c>
      <c r="J5" t="str">
        <f t="shared" ca="1" si="7"/>
        <v>Low CIBIL</v>
      </c>
      <c r="K5">
        <f t="shared" ca="1" si="8"/>
        <v>4</v>
      </c>
      <c r="L5" s="1">
        <f t="shared" ca="1" si="9"/>
        <v>45988</v>
      </c>
    </row>
    <row r="6" spans="1:12" x14ac:dyDescent="0.3">
      <c r="A6" t="s">
        <v>16</v>
      </c>
      <c r="B6" s="1">
        <f t="shared" ca="1" si="0"/>
        <v>45985</v>
      </c>
      <c r="C6" s="2" t="s">
        <v>41</v>
      </c>
      <c r="D6">
        <f t="shared" ca="1" si="1"/>
        <v>147</v>
      </c>
      <c r="E6">
        <f t="shared" ca="1" si="2"/>
        <v>609</v>
      </c>
      <c r="F6">
        <f t="shared" ca="1" si="3"/>
        <v>4</v>
      </c>
      <c r="G6">
        <f t="shared" ca="1" si="4"/>
        <v>3</v>
      </c>
      <c r="H6" t="str">
        <f t="shared" ca="1" si="5"/>
        <v>Rejected</v>
      </c>
      <c r="I6" t="str">
        <f t="shared" ca="1" si="6"/>
        <v>Yes</v>
      </c>
      <c r="J6" t="str">
        <f t="shared" ca="1" si="7"/>
        <v>Low CIBIL</v>
      </c>
      <c r="K6">
        <f t="shared" ca="1" si="8"/>
        <v>6</v>
      </c>
      <c r="L6" s="1">
        <f t="shared" ca="1" si="9"/>
        <v>45991</v>
      </c>
    </row>
    <row r="7" spans="1:12" x14ac:dyDescent="0.3">
      <c r="A7" t="s">
        <v>17</v>
      </c>
      <c r="B7" s="1">
        <f t="shared" ca="1" si="0"/>
        <v>45990</v>
      </c>
      <c r="C7" s="2" t="s">
        <v>43</v>
      </c>
      <c r="D7">
        <f t="shared" ca="1" si="1"/>
        <v>165</v>
      </c>
      <c r="E7">
        <f t="shared" ca="1" si="2"/>
        <v>716</v>
      </c>
      <c r="F7">
        <f t="shared" ca="1" si="3"/>
        <v>5</v>
      </c>
      <c r="G7">
        <f t="shared" ca="1" si="4"/>
        <v>43</v>
      </c>
      <c r="H7" t="str">
        <f t="shared" ca="1" si="5"/>
        <v>Rejected</v>
      </c>
      <c r="I7" t="str">
        <f t="shared" ca="1" si="6"/>
        <v>Yes</v>
      </c>
      <c r="J7" t="str">
        <f t="shared" ca="1" si="7"/>
        <v>High Obligation</v>
      </c>
      <c r="K7">
        <f t="shared" ca="1" si="8"/>
        <v>3</v>
      </c>
      <c r="L7" s="1">
        <f t="shared" ca="1" si="9"/>
        <v>45993</v>
      </c>
    </row>
    <row r="8" spans="1:12" x14ac:dyDescent="0.3">
      <c r="A8" t="s">
        <v>18</v>
      </c>
      <c r="B8" s="1">
        <f t="shared" ca="1" si="0"/>
        <v>45976</v>
      </c>
      <c r="C8" s="2" t="s">
        <v>42</v>
      </c>
      <c r="D8">
        <f t="shared" ca="1" si="1"/>
        <v>41</v>
      </c>
      <c r="E8">
        <f t="shared" ca="1" si="2"/>
        <v>662</v>
      </c>
      <c r="F8">
        <f t="shared" ca="1" si="3"/>
        <v>6</v>
      </c>
      <c r="G8">
        <f t="shared" ca="1" si="4"/>
        <v>36</v>
      </c>
      <c r="H8" t="str">
        <f t="shared" ca="1" si="5"/>
        <v>Eligible</v>
      </c>
      <c r="I8" t="str">
        <f t="shared" ca="1" si="6"/>
        <v>No</v>
      </c>
      <c r="J8" t="str">
        <f t="shared" ca="1" si="7"/>
        <v>NA</v>
      </c>
      <c r="K8">
        <f t="shared" ca="1" si="8"/>
        <v>7</v>
      </c>
      <c r="L8" s="1">
        <f t="shared" ca="1" si="9"/>
        <v>45983</v>
      </c>
    </row>
    <row r="9" spans="1:12" x14ac:dyDescent="0.3">
      <c r="A9" t="s">
        <v>19</v>
      </c>
      <c r="B9" s="1">
        <f t="shared" ca="1" si="0"/>
        <v>45986</v>
      </c>
      <c r="C9" s="2" t="s">
        <v>42</v>
      </c>
      <c r="D9">
        <f t="shared" ca="1" si="1"/>
        <v>116</v>
      </c>
      <c r="E9">
        <f t="shared" ca="1" si="2"/>
        <v>600</v>
      </c>
      <c r="F9">
        <f t="shared" ca="1" si="3"/>
        <v>2</v>
      </c>
      <c r="G9">
        <f t="shared" ca="1" si="4"/>
        <v>16</v>
      </c>
      <c r="H9" t="str">
        <f t="shared" ca="1" si="5"/>
        <v>Eligible</v>
      </c>
      <c r="I9" t="str">
        <f t="shared" ca="1" si="6"/>
        <v>No</v>
      </c>
      <c r="J9" t="str">
        <f t="shared" ca="1" si="7"/>
        <v>NA</v>
      </c>
      <c r="K9">
        <f t="shared" ca="1" si="8"/>
        <v>5</v>
      </c>
      <c r="L9" s="1">
        <f t="shared" ca="1" si="9"/>
        <v>45991</v>
      </c>
    </row>
    <row r="10" spans="1:12" x14ac:dyDescent="0.3">
      <c r="A10" t="s">
        <v>20</v>
      </c>
      <c r="B10" s="1">
        <f t="shared" ca="1" si="0"/>
        <v>45965</v>
      </c>
      <c r="C10" s="2" t="s">
        <v>43</v>
      </c>
      <c r="D10">
        <f t="shared" ca="1" si="1"/>
        <v>151</v>
      </c>
      <c r="E10">
        <f t="shared" ca="1" si="2"/>
        <v>725</v>
      </c>
      <c r="F10">
        <f t="shared" ca="1" si="3"/>
        <v>8</v>
      </c>
      <c r="G10">
        <f t="shared" ca="1" si="4"/>
        <v>8</v>
      </c>
      <c r="H10" t="str">
        <f t="shared" ca="1" si="5"/>
        <v>Rejected</v>
      </c>
      <c r="I10" t="str">
        <f t="shared" ca="1" si="6"/>
        <v>Yes</v>
      </c>
      <c r="J10" t="str">
        <f t="shared" ca="1" si="7"/>
        <v>High Obligation</v>
      </c>
      <c r="K10">
        <f t="shared" ca="1" si="8"/>
        <v>6</v>
      </c>
      <c r="L10" s="1">
        <f t="shared" ca="1" si="9"/>
        <v>45971</v>
      </c>
    </row>
    <row r="11" spans="1:12" x14ac:dyDescent="0.3">
      <c r="A11" t="s">
        <v>21</v>
      </c>
      <c r="B11" s="1">
        <f t="shared" ca="1" si="0"/>
        <v>45966</v>
      </c>
      <c r="C11" s="2" t="s">
        <v>41</v>
      </c>
      <c r="D11">
        <f t="shared" ca="1" si="1"/>
        <v>22</v>
      </c>
      <c r="E11">
        <f t="shared" ca="1" si="2"/>
        <v>725</v>
      </c>
      <c r="F11">
        <f t="shared" ca="1" si="3"/>
        <v>3</v>
      </c>
      <c r="G11">
        <f t="shared" ca="1" si="4"/>
        <v>57</v>
      </c>
      <c r="H11" t="str">
        <f t="shared" ca="1" si="5"/>
        <v>Eligible</v>
      </c>
      <c r="I11" t="str">
        <f t="shared" ca="1" si="6"/>
        <v>No</v>
      </c>
      <c r="J11" t="str">
        <f t="shared" ca="1" si="7"/>
        <v>NA</v>
      </c>
      <c r="K11">
        <f t="shared" ca="1" si="8"/>
        <v>5</v>
      </c>
      <c r="L11" s="1">
        <f t="shared" ca="1" si="9"/>
        <v>45971</v>
      </c>
    </row>
    <row r="12" spans="1:12" x14ac:dyDescent="0.3">
      <c r="A12" t="s">
        <v>22</v>
      </c>
      <c r="B12" s="1">
        <f t="shared" ca="1" si="0"/>
        <v>45976</v>
      </c>
      <c r="C12" s="2" t="s">
        <v>43</v>
      </c>
      <c r="D12">
        <f t="shared" ca="1" si="1"/>
        <v>192</v>
      </c>
      <c r="E12">
        <f t="shared" ca="1" si="2"/>
        <v>685</v>
      </c>
      <c r="F12">
        <f t="shared" ca="1" si="3"/>
        <v>7</v>
      </c>
      <c r="G12">
        <f t="shared" ca="1" si="4"/>
        <v>78</v>
      </c>
      <c r="H12" t="str">
        <f t="shared" ca="1" si="5"/>
        <v>Rejected</v>
      </c>
      <c r="I12" t="str">
        <f t="shared" ca="1" si="6"/>
        <v>Yes</v>
      </c>
      <c r="J12" t="str">
        <f t="shared" ca="1" si="7"/>
        <v>High Obligation</v>
      </c>
      <c r="K12">
        <f t="shared" ca="1" si="8"/>
        <v>7</v>
      </c>
      <c r="L12" s="1">
        <f t="shared" ca="1" si="9"/>
        <v>45983</v>
      </c>
    </row>
    <row r="13" spans="1:12" x14ac:dyDescent="0.3">
      <c r="A13" t="s">
        <v>23</v>
      </c>
      <c r="B13" s="1">
        <f t="shared" ca="1" si="0"/>
        <v>45986</v>
      </c>
      <c r="C13" s="2" t="s">
        <v>43</v>
      </c>
      <c r="D13">
        <f t="shared" ca="1" si="1"/>
        <v>60</v>
      </c>
      <c r="E13">
        <f t="shared" ca="1" si="2"/>
        <v>677</v>
      </c>
      <c r="F13">
        <f t="shared" ca="1" si="3"/>
        <v>6</v>
      </c>
      <c r="G13">
        <f t="shared" ca="1" si="4"/>
        <v>25</v>
      </c>
      <c r="H13" t="str">
        <f t="shared" ca="1" si="5"/>
        <v>Eligible</v>
      </c>
      <c r="I13" t="str">
        <f t="shared" ca="1" si="6"/>
        <v>Yes</v>
      </c>
      <c r="J13" t="str">
        <f t="shared" ca="1" si="7"/>
        <v>High Obligation</v>
      </c>
      <c r="K13">
        <f t="shared" ca="1" si="8"/>
        <v>5</v>
      </c>
      <c r="L13" s="1">
        <f t="shared" ca="1" si="9"/>
        <v>45991</v>
      </c>
    </row>
    <row r="14" spans="1:12" x14ac:dyDescent="0.3">
      <c r="A14" t="s">
        <v>24</v>
      </c>
      <c r="B14" s="1">
        <f t="shared" ca="1" si="0"/>
        <v>45985</v>
      </c>
      <c r="C14" s="2" t="s">
        <v>42</v>
      </c>
      <c r="D14">
        <f t="shared" ca="1" si="1"/>
        <v>91</v>
      </c>
      <c r="E14">
        <f t="shared" ca="1" si="2"/>
        <v>572</v>
      </c>
      <c r="F14">
        <f t="shared" ca="1" si="3"/>
        <v>3</v>
      </c>
      <c r="G14">
        <f t="shared" ca="1" si="4"/>
        <v>70</v>
      </c>
      <c r="H14" t="str">
        <f t="shared" ca="1" si="5"/>
        <v>Eligible</v>
      </c>
      <c r="I14" t="str">
        <f t="shared" ca="1" si="6"/>
        <v>No</v>
      </c>
      <c r="J14" t="str">
        <f t="shared" ca="1" si="7"/>
        <v>NA</v>
      </c>
      <c r="K14">
        <f t="shared" ca="1" si="8"/>
        <v>1</v>
      </c>
      <c r="L14" s="1">
        <f t="shared" ca="1" si="9"/>
        <v>45986</v>
      </c>
    </row>
    <row r="15" spans="1:12" x14ac:dyDescent="0.3">
      <c r="A15" t="s">
        <v>25</v>
      </c>
      <c r="B15" s="1">
        <f t="shared" ca="1" si="0"/>
        <v>45976</v>
      </c>
      <c r="C15" s="2" t="s">
        <v>43</v>
      </c>
      <c r="D15">
        <f t="shared" ca="1" si="1"/>
        <v>21</v>
      </c>
      <c r="E15">
        <f t="shared" ca="1" si="2"/>
        <v>591</v>
      </c>
      <c r="F15">
        <f t="shared" ca="1" si="3"/>
        <v>5</v>
      </c>
      <c r="G15">
        <f t="shared" ca="1" si="4"/>
        <v>14</v>
      </c>
      <c r="H15" t="str">
        <f t="shared" ca="1" si="5"/>
        <v>Rejected</v>
      </c>
      <c r="I15" t="str">
        <f t="shared" ca="1" si="6"/>
        <v>Yes</v>
      </c>
      <c r="J15" t="str">
        <f t="shared" ca="1" si="7"/>
        <v>Low CIBIL</v>
      </c>
      <c r="K15">
        <f t="shared" ca="1" si="8"/>
        <v>1</v>
      </c>
      <c r="L15" s="1">
        <f t="shared" ca="1" si="9"/>
        <v>45977</v>
      </c>
    </row>
    <row r="16" spans="1:12" x14ac:dyDescent="0.3">
      <c r="A16" t="s">
        <v>26</v>
      </c>
      <c r="B16" s="1">
        <f t="shared" ca="1" si="0"/>
        <v>45989</v>
      </c>
      <c r="C16" s="2" t="s">
        <v>42</v>
      </c>
      <c r="D16">
        <f t="shared" ca="1" si="1"/>
        <v>92</v>
      </c>
      <c r="E16">
        <f t="shared" ca="1" si="2"/>
        <v>649</v>
      </c>
      <c r="F16">
        <f t="shared" ca="1" si="3"/>
        <v>10</v>
      </c>
      <c r="G16">
        <f t="shared" ca="1" si="4"/>
        <v>14</v>
      </c>
      <c r="H16" t="str">
        <f t="shared" ca="1" si="5"/>
        <v>Rejected</v>
      </c>
      <c r="I16" t="str">
        <f t="shared" ca="1" si="6"/>
        <v>Yes</v>
      </c>
      <c r="J16" t="str">
        <f t="shared" ca="1" si="7"/>
        <v>Low CIBIL</v>
      </c>
      <c r="K16">
        <f t="shared" ca="1" si="8"/>
        <v>4</v>
      </c>
      <c r="L16" s="1">
        <f t="shared" ca="1" si="9"/>
        <v>45993</v>
      </c>
    </row>
    <row r="17" spans="1:12" x14ac:dyDescent="0.3">
      <c r="A17" t="s">
        <v>27</v>
      </c>
      <c r="B17" s="1">
        <f t="shared" ca="1" si="0"/>
        <v>45976</v>
      </c>
      <c r="C17" s="2" t="s">
        <v>42</v>
      </c>
      <c r="D17">
        <f t="shared" ca="1" si="1"/>
        <v>186</v>
      </c>
      <c r="E17">
        <f t="shared" ca="1" si="2"/>
        <v>798</v>
      </c>
      <c r="F17">
        <f t="shared" ca="1" si="3"/>
        <v>8</v>
      </c>
      <c r="G17">
        <f t="shared" ca="1" si="4"/>
        <v>67</v>
      </c>
      <c r="H17" t="str">
        <f t="shared" ca="1" si="5"/>
        <v>Rejected</v>
      </c>
      <c r="I17" t="str">
        <f t="shared" ca="1" si="6"/>
        <v>Yes</v>
      </c>
      <c r="J17" t="str">
        <f t="shared" ca="1" si="7"/>
        <v>High Obligation</v>
      </c>
      <c r="K17">
        <f t="shared" ca="1" si="8"/>
        <v>2</v>
      </c>
      <c r="L17" s="1">
        <f t="shared" ca="1" si="9"/>
        <v>45978</v>
      </c>
    </row>
    <row r="18" spans="1:12" x14ac:dyDescent="0.3">
      <c r="A18" t="s">
        <v>28</v>
      </c>
      <c r="B18" s="1">
        <f t="shared" ca="1" si="0"/>
        <v>45968</v>
      </c>
      <c r="C18" s="2" t="s">
        <v>41</v>
      </c>
      <c r="D18">
        <f t="shared" ca="1" si="1"/>
        <v>123</v>
      </c>
      <c r="E18">
        <f t="shared" ca="1" si="2"/>
        <v>696</v>
      </c>
      <c r="F18">
        <f t="shared" ca="1" si="3"/>
        <v>7</v>
      </c>
      <c r="G18">
        <f t="shared" ca="1" si="4"/>
        <v>36</v>
      </c>
      <c r="H18" t="str">
        <f t="shared" ca="1" si="5"/>
        <v>Eligible</v>
      </c>
      <c r="I18" t="str">
        <f t="shared" ca="1" si="6"/>
        <v>Yes</v>
      </c>
      <c r="J18" t="str">
        <f t="shared" ca="1" si="7"/>
        <v>High Obligation</v>
      </c>
      <c r="K18">
        <f t="shared" ca="1" si="8"/>
        <v>3</v>
      </c>
      <c r="L18" s="1">
        <f t="shared" ca="1" si="9"/>
        <v>45971</v>
      </c>
    </row>
    <row r="19" spans="1:12" x14ac:dyDescent="0.3">
      <c r="A19" t="s">
        <v>29</v>
      </c>
      <c r="B19" s="1">
        <f t="shared" ca="1" si="0"/>
        <v>45965</v>
      </c>
      <c r="C19" s="2" t="s">
        <v>43</v>
      </c>
      <c r="D19">
        <f t="shared" ca="1" si="1"/>
        <v>41</v>
      </c>
      <c r="E19">
        <f t="shared" ca="1" si="2"/>
        <v>593</v>
      </c>
      <c r="F19">
        <f t="shared" ca="1" si="3"/>
        <v>1</v>
      </c>
      <c r="G19">
        <f t="shared" ca="1" si="4"/>
        <v>4</v>
      </c>
      <c r="H19" t="str">
        <f t="shared" ca="1" si="5"/>
        <v>Eligible</v>
      </c>
      <c r="I19" t="str">
        <f t="shared" ca="1" si="6"/>
        <v>No</v>
      </c>
      <c r="J19" t="str">
        <f t="shared" ca="1" si="7"/>
        <v>NA</v>
      </c>
      <c r="K19">
        <f t="shared" ca="1" si="8"/>
        <v>4</v>
      </c>
      <c r="L19" s="1">
        <f t="shared" ca="1" si="9"/>
        <v>45969</v>
      </c>
    </row>
    <row r="20" spans="1:12" x14ac:dyDescent="0.3">
      <c r="A20" t="s">
        <v>30</v>
      </c>
      <c r="B20" s="1">
        <f t="shared" ca="1" si="0"/>
        <v>45985</v>
      </c>
      <c r="C20" s="2" t="s">
        <v>41</v>
      </c>
      <c r="D20">
        <f t="shared" ca="1" si="1"/>
        <v>97</v>
      </c>
      <c r="E20">
        <f t="shared" ca="1" si="2"/>
        <v>766</v>
      </c>
      <c r="F20">
        <f t="shared" ca="1" si="3"/>
        <v>7</v>
      </c>
      <c r="G20">
        <f t="shared" ca="1" si="4"/>
        <v>70</v>
      </c>
      <c r="H20" t="str">
        <f t="shared" ca="1" si="5"/>
        <v>Rejected</v>
      </c>
      <c r="I20" t="str">
        <f t="shared" ca="1" si="6"/>
        <v>Yes</v>
      </c>
      <c r="J20" t="str">
        <f t="shared" ca="1" si="7"/>
        <v>High Obligation</v>
      </c>
      <c r="K20">
        <f t="shared" ca="1" si="8"/>
        <v>6</v>
      </c>
      <c r="L20" s="1">
        <f t="shared" ca="1" si="9"/>
        <v>45991</v>
      </c>
    </row>
    <row r="21" spans="1:12" x14ac:dyDescent="0.3">
      <c r="A21" t="s">
        <v>31</v>
      </c>
      <c r="B21" s="1">
        <f t="shared" ca="1" si="0"/>
        <v>45980</v>
      </c>
      <c r="C21" s="2" t="s">
        <v>43</v>
      </c>
      <c r="D21">
        <f t="shared" ca="1" si="1"/>
        <v>182</v>
      </c>
      <c r="E21">
        <f t="shared" ca="1" si="2"/>
        <v>677</v>
      </c>
      <c r="F21">
        <f t="shared" ca="1" si="3"/>
        <v>2</v>
      </c>
      <c r="G21">
        <f t="shared" ca="1" si="4"/>
        <v>74</v>
      </c>
      <c r="H21" t="str">
        <f t="shared" ca="1" si="5"/>
        <v>Eligible</v>
      </c>
      <c r="I21" t="str">
        <f t="shared" ca="1" si="6"/>
        <v>Yes</v>
      </c>
      <c r="J21" t="str">
        <f t="shared" ca="1" si="7"/>
        <v>High Obligation</v>
      </c>
      <c r="K21">
        <f t="shared" ca="1" si="8"/>
        <v>5</v>
      </c>
      <c r="L21" s="1">
        <f t="shared" ca="1" si="9"/>
        <v>45985</v>
      </c>
    </row>
    <row r="22" spans="1:12" x14ac:dyDescent="0.3">
      <c r="A22" t="s">
        <v>32</v>
      </c>
      <c r="B22" s="1">
        <f t="shared" ca="1" si="0"/>
        <v>45983</v>
      </c>
      <c r="C22" s="2" t="s">
        <v>43</v>
      </c>
      <c r="D22">
        <f t="shared" ca="1" si="1"/>
        <v>45</v>
      </c>
      <c r="E22">
        <f t="shared" ca="1" si="2"/>
        <v>656</v>
      </c>
      <c r="F22">
        <f t="shared" ca="1" si="3"/>
        <v>3</v>
      </c>
      <c r="G22">
        <f t="shared" ca="1" si="4"/>
        <v>1</v>
      </c>
      <c r="H22" t="str">
        <f t="shared" ca="1" si="5"/>
        <v>Rejected</v>
      </c>
      <c r="I22" t="str">
        <f t="shared" ca="1" si="6"/>
        <v>Yes</v>
      </c>
      <c r="J22" t="str">
        <f t="shared" ca="1" si="7"/>
        <v>High Obligation</v>
      </c>
      <c r="K22">
        <f t="shared" ca="1" si="8"/>
        <v>6</v>
      </c>
      <c r="L22" s="1">
        <f t="shared" ca="1" si="9"/>
        <v>45989</v>
      </c>
    </row>
    <row r="23" spans="1:12" x14ac:dyDescent="0.3">
      <c r="A23" t="s">
        <v>33</v>
      </c>
      <c r="B23" s="1">
        <f t="shared" ca="1" si="0"/>
        <v>45979</v>
      </c>
      <c r="C23" s="2" t="s">
        <v>41</v>
      </c>
      <c r="D23">
        <f t="shared" ca="1" si="1"/>
        <v>111</v>
      </c>
      <c r="E23">
        <f t="shared" ca="1" si="2"/>
        <v>727</v>
      </c>
      <c r="F23">
        <f t="shared" ca="1" si="3"/>
        <v>7</v>
      </c>
      <c r="G23">
        <f t="shared" ca="1" si="4"/>
        <v>5</v>
      </c>
      <c r="H23" t="str">
        <f t="shared" ca="1" si="5"/>
        <v>Eligible</v>
      </c>
      <c r="I23" t="str">
        <f t="shared" ca="1" si="6"/>
        <v>No</v>
      </c>
      <c r="J23" t="str">
        <f t="shared" ca="1" si="7"/>
        <v>NA</v>
      </c>
      <c r="K23">
        <f t="shared" ca="1" si="8"/>
        <v>5</v>
      </c>
      <c r="L23" s="1">
        <f t="shared" ca="1" si="9"/>
        <v>45984</v>
      </c>
    </row>
    <row r="24" spans="1:12" x14ac:dyDescent="0.3">
      <c r="A24" t="s">
        <v>34</v>
      </c>
      <c r="B24" s="1">
        <f t="shared" ca="1" si="0"/>
        <v>45983</v>
      </c>
      <c r="C24" s="2" t="s">
        <v>41</v>
      </c>
      <c r="D24">
        <f t="shared" ca="1" si="1"/>
        <v>189</v>
      </c>
      <c r="E24">
        <f t="shared" ca="1" si="2"/>
        <v>808</v>
      </c>
      <c r="F24">
        <f t="shared" ca="1" si="3"/>
        <v>4</v>
      </c>
      <c r="G24">
        <f t="shared" ca="1" si="4"/>
        <v>66</v>
      </c>
      <c r="H24" t="str">
        <f t="shared" ca="1" si="5"/>
        <v>Eligible</v>
      </c>
      <c r="I24" t="str">
        <f t="shared" ca="1" si="6"/>
        <v>No</v>
      </c>
      <c r="J24" t="str">
        <f t="shared" ca="1" si="7"/>
        <v>NA</v>
      </c>
      <c r="K24">
        <f t="shared" ca="1" si="8"/>
        <v>3</v>
      </c>
      <c r="L24" s="1">
        <f t="shared" ca="1" si="9"/>
        <v>45986</v>
      </c>
    </row>
    <row r="25" spans="1:12" x14ac:dyDescent="0.3">
      <c r="A25" t="s">
        <v>35</v>
      </c>
      <c r="B25" s="1">
        <f t="shared" ca="1" si="0"/>
        <v>45983</v>
      </c>
      <c r="C25" s="2" t="s">
        <v>42</v>
      </c>
      <c r="D25">
        <f t="shared" ca="1" si="1"/>
        <v>45</v>
      </c>
      <c r="E25">
        <f t="shared" ca="1" si="2"/>
        <v>592</v>
      </c>
      <c r="F25">
        <f t="shared" ca="1" si="3"/>
        <v>3</v>
      </c>
      <c r="G25">
        <f t="shared" ca="1" si="4"/>
        <v>15</v>
      </c>
      <c r="H25" t="str">
        <f t="shared" ca="1" si="5"/>
        <v>Eligible</v>
      </c>
      <c r="I25" t="str">
        <f t="shared" ca="1" si="6"/>
        <v>Yes</v>
      </c>
      <c r="J25" t="str">
        <f t="shared" ca="1" si="7"/>
        <v>Low CIBIL</v>
      </c>
      <c r="K25">
        <f t="shared" ca="1" si="8"/>
        <v>2</v>
      </c>
      <c r="L25" s="1">
        <f t="shared" ca="1" si="9"/>
        <v>45985</v>
      </c>
    </row>
    <row r="26" spans="1:12" x14ac:dyDescent="0.3">
      <c r="A26" t="s">
        <v>36</v>
      </c>
      <c r="B26" s="1">
        <f t="shared" ca="1" si="0"/>
        <v>45986</v>
      </c>
      <c r="C26" s="2" t="s">
        <v>41</v>
      </c>
      <c r="D26">
        <f t="shared" ca="1" si="1"/>
        <v>103</v>
      </c>
      <c r="E26">
        <f t="shared" ca="1" si="2"/>
        <v>839</v>
      </c>
      <c r="F26">
        <f t="shared" ca="1" si="3"/>
        <v>1</v>
      </c>
      <c r="G26">
        <f t="shared" ca="1" si="4"/>
        <v>32</v>
      </c>
      <c r="H26" t="str">
        <f t="shared" ca="1" si="5"/>
        <v>Rejected</v>
      </c>
      <c r="I26" t="str">
        <f t="shared" ca="1" si="6"/>
        <v>Yes</v>
      </c>
      <c r="J26" t="str">
        <f t="shared" ca="1" si="7"/>
        <v>High Obligation</v>
      </c>
      <c r="K26">
        <f t="shared" ca="1" si="8"/>
        <v>7</v>
      </c>
      <c r="L26" s="1">
        <f t="shared" ca="1" si="9"/>
        <v>45993</v>
      </c>
    </row>
    <row r="27" spans="1:12" x14ac:dyDescent="0.3">
      <c r="A27" t="s">
        <v>37</v>
      </c>
      <c r="B27" s="1">
        <f t="shared" ca="1" si="0"/>
        <v>45989</v>
      </c>
      <c r="C27" s="2" t="s">
        <v>42</v>
      </c>
      <c r="D27">
        <f t="shared" ca="1" si="1"/>
        <v>28</v>
      </c>
      <c r="E27">
        <f t="shared" ca="1" si="2"/>
        <v>610</v>
      </c>
      <c r="F27">
        <f t="shared" ca="1" si="3"/>
        <v>3</v>
      </c>
      <c r="G27">
        <f t="shared" ca="1" si="4"/>
        <v>48</v>
      </c>
      <c r="H27" t="str">
        <f t="shared" ca="1" si="5"/>
        <v>Rejected</v>
      </c>
      <c r="I27" t="str">
        <f t="shared" ca="1" si="6"/>
        <v>No</v>
      </c>
      <c r="J27" t="str">
        <f t="shared" ca="1" si="7"/>
        <v>NA</v>
      </c>
      <c r="K27">
        <f t="shared" ca="1" si="8"/>
        <v>6</v>
      </c>
      <c r="L27" s="1">
        <f t="shared" ca="1" si="9"/>
        <v>45995</v>
      </c>
    </row>
    <row r="28" spans="1:12" x14ac:dyDescent="0.3">
      <c r="A28" t="s">
        <v>38</v>
      </c>
      <c r="B28" s="1">
        <f t="shared" ca="1" si="0"/>
        <v>45984</v>
      </c>
      <c r="C28" s="2" t="s">
        <v>42</v>
      </c>
      <c r="D28">
        <f t="shared" ca="1" si="1"/>
        <v>76</v>
      </c>
      <c r="E28">
        <f t="shared" ca="1" si="2"/>
        <v>560</v>
      </c>
      <c r="F28">
        <f t="shared" ca="1" si="3"/>
        <v>7</v>
      </c>
      <c r="G28">
        <f t="shared" ca="1" si="4"/>
        <v>70</v>
      </c>
      <c r="H28" t="str">
        <f t="shared" ca="1" si="5"/>
        <v>Rejected</v>
      </c>
      <c r="I28" t="str">
        <f t="shared" ca="1" si="6"/>
        <v>Yes</v>
      </c>
      <c r="J28" t="str">
        <f t="shared" ca="1" si="7"/>
        <v>Low CIBIL</v>
      </c>
      <c r="K28">
        <f t="shared" ca="1" si="8"/>
        <v>1</v>
      </c>
      <c r="L28" s="1">
        <f t="shared" ca="1" si="9"/>
        <v>45985</v>
      </c>
    </row>
    <row r="29" spans="1:12" x14ac:dyDescent="0.3">
      <c r="A29" t="s">
        <v>39</v>
      </c>
      <c r="B29" s="1">
        <f t="shared" ca="1" si="0"/>
        <v>45976</v>
      </c>
      <c r="C29" s="2" t="s">
        <v>43</v>
      </c>
      <c r="D29">
        <f t="shared" ca="1" si="1"/>
        <v>178</v>
      </c>
      <c r="E29">
        <f t="shared" ca="1" si="2"/>
        <v>631</v>
      </c>
      <c r="F29">
        <f t="shared" ca="1" si="3"/>
        <v>6</v>
      </c>
      <c r="G29">
        <f t="shared" ca="1" si="4"/>
        <v>63</v>
      </c>
      <c r="H29" t="str">
        <f t="shared" ca="1" si="5"/>
        <v>Rejected</v>
      </c>
      <c r="I29" t="str">
        <f t="shared" ca="1" si="6"/>
        <v>Yes</v>
      </c>
      <c r="J29" t="str">
        <f t="shared" ca="1" si="7"/>
        <v>Low CIBIL</v>
      </c>
      <c r="K29">
        <f t="shared" ca="1" si="8"/>
        <v>1</v>
      </c>
      <c r="L29" s="1">
        <f t="shared" ca="1" si="9"/>
        <v>45977</v>
      </c>
    </row>
    <row r="30" spans="1:12" x14ac:dyDescent="0.3">
      <c r="A30" t="s">
        <v>40</v>
      </c>
      <c r="B30" s="1">
        <f t="shared" ca="1" si="0"/>
        <v>45971</v>
      </c>
      <c r="C30" s="2" t="s">
        <v>41</v>
      </c>
      <c r="D30">
        <f t="shared" ca="1" si="1"/>
        <v>73</v>
      </c>
      <c r="E30">
        <f t="shared" ca="1" si="2"/>
        <v>717</v>
      </c>
      <c r="F30">
        <f t="shared" ca="1" si="3"/>
        <v>10</v>
      </c>
      <c r="G30">
        <f t="shared" ca="1" si="4"/>
        <v>35</v>
      </c>
      <c r="H30" t="str">
        <f t="shared" ca="1" si="5"/>
        <v>Rejected</v>
      </c>
      <c r="I30" t="str">
        <f t="shared" ca="1" si="6"/>
        <v>Yes</v>
      </c>
      <c r="J30" t="str">
        <f t="shared" ca="1" si="7"/>
        <v>High Obligation</v>
      </c>
      <c r="K30">
        <f t="shared" ca="1" si="8"/>
        <v>3</v>
      </c>
      <c r="L30" s="1">
        <f t="shared" ca="1" si="9"/>
        <v>45974</v>
      </c>
    </row>
    <row r="31" spans="1:12" x14ac:dyDescent="0.3">
      <c r="B3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6E3D-DEEB-42D7-8486-7F93614826AF}">
  <dimension ref="A1:L30"/>
  <sheetViews>
    <sheetView tabSelected="1" workbookViewId="0">
      <selection activeCell="B1" sqref="B1"/>
    </sheetView>
  </sheetViews>
  <sheetFormatPr defaultRowHeight="14.4" x14ac:dyDescent="0.3"/>
  <cols>
    <col min="1" max="1" width="15.109375" customWidth="1"/>
    <col min="2" max="2" width="17.21875" customWidth="1"/>
    <col min="3" max="3" width="14.88671875" customWidth="1"/>
    <col min="4" max="4" width="16.44140625" customWidth="1"/>
    <col min="5" max="5" width="12.77734375" customWidth="1"/>
    <col min="6" max="6" width="22.5546875" customWidth="1"/>
    <col min="7" max="7" width="21.21875" customWidth="1"/>
    <col min="8" max="8" width="16.88671875" customWidth="1"/>
    <col min="9" max="9" width="10.6640625" customWidth="1"/>
    <col min="10" max="10" width="13.21875" bestFit="1" customWidth="1"/>
    <col min="11" max="11" width="21.5546875" customWidth="1"/>
    <col min="12" max="12" width="14.77734375" customWidth="1"/>
  </cols>
  <sheetData>
    <row r="1" spans="1:12" x14ac:dyDescent="0.3">
      <c r="A1" t="s">
        <v>44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12" x14ac:dyDescent="0.3">
      <c r="A2" t="s">
        <v>17</v>
      </c>
      <c r="B2" s="1">
        <f t="shared" ref="B2:B30" ca="1" si="0">DATE(2025,11,RANDBETWEEN(1,30))</f>
        <v>45991</v>
      </c>
      <c r="C2" s="2" t="s">
        <v>43</v>
      </c>
      <c r="D2">
        <f t="shared" ref="D2:D30" ca="1" si="1">RANDBETWEEN(15,200)</f>
        <v>125</v>
      </c>
      <c r="E2">
        <f t="shared" ref="E2:E30" ca="1" si="2">RANDBETWEEN(550,850)</f>
        <v>633</v>
      </c>
      <c r="F2">
        <f t="shared" ref="F2:F30" ca="1" si="3">RANDBETWEEN(1,10)</f>
        <v>7</v>
      </c>
      <c r="G2">
        <f t="shared" ref="G2:G30" ca="1" si="4">RANDBETWEEN(0,80)</f>
        <v>43</v>
      </c>
      <c r="H2" t="str">
        <f t="shared" ref="H2:H30" si="5">IF(AND(E1&gt;=650,D1&gt;=25,F1&gt;=3),"Eligible", "Rejected")</f>
        <v>Eligible</v>
      </c>
      <c r="I2" t="str">
        <f t="shared" ref="I2:I30" si="6">IF(OR(E1 &lt; 650,G1 &gt; 50), "Yes", "No")</f>
        <v>Yes</v>
      </c>
      <c r="J2" t="str">
        <f t="shared" ref="J2:J30" ca="1" si="7">IF(I2="No","NA",IF(E2&lt;650,"Low CIBIL","High Obligation"))</f>
        <v>Low CIBIL</v>
      </c>
      <c r="K2">
        <f t="shared" ref="K2:K30" ca="1" si="8">RANDBETWEEN(1,7)</f>
        <v>1</v>
      </c>
      <c r="L2" s="1">
        <f t="shared" ref="L2:L30" ca="1" si="9">B2+K2</f>
        <v>45992</v>
      </c>
    </row>
    <row r="3" spans="1:12" x14ac:dyDescent="0.3">
      <c r="A3" t="s">
        <v>21</v>
      </c>
      <c r="B3" s="1">
        <f t="shared" ca="1" si="0"/>
        <v>45967</v>
      </c>
      <c r="C3" s="2" t="s">
        <v>41</v>
      </c>
      <c r="D3">
        <f t="shared" ca="1" si="1"/>
        <v>19</v>
      </c>
      <c r="E3">
        <f t="shared" ca="1" si="2"/>
        <v>612</v>
      </c>
      <c r="F3">
        <f t="shared" ca="1" si="3"/>
        <v>5</v>
      </c>
      <c r="G3">
        <f t="shared" ca="1" si="4"/>
        <v>48</v>
      </c>
      <c r="H3" t="str">
        <f t="shared" ca="1" si="5"/>
        <v>Rejected</v>
      </c>
      <c r="I3" t="str">
        <f t="shared" ca="1" si="6"/>
        <v>Yes</v>
      </c>
      <c r="J3" t="str">
        <f t="shared" ca="1" si="7"/>
        <v>Low CIBIL</v>
      </c>
      <c r="K3">
        <f t="shared" ca="1" si="8"/>
        <v>3</v>
      </c>
      <c r="L3" s="1">
        <f t="shared" ca="1" si="9"/>
        <v>45970</v>
      </c>
    </row>
    <row r="4" spans="1:12" x14ac:dyDescent="0.3">
      <c r="A4" t="s">
        <v>37</v>
      </c>
      <c r="B4" s="1">
        <f t="shared" ca="1" si="0"/>
        <v>45988</v>
      </c>
      <c r="C4" s="2" t="s">
        <v>42</v>
      </c>
      <c r="D4">
        <f t="shared" ca="1" si="1"/>
        <v>165</v>
      </c>
      <c r="E4">
        <f t="shared" ca="1" si="2"/>
        <v>559</v>
      </c>
      <c r="F4">
        <f t="shared" ca="1" si="3"/>
        <v>4</v>
      </c>
      <c r="G4">
        <f t="shared" ca="1" si="4"/>
        <v>49</v>
      </c>
      <c r="H4" t="str">
        <f t="shared" ca="1" si="5"/>
        <v>Rejected</v>
      </c>
      <c r="I4" t="str">
        <f t="shared" ca="1" si="6"/>
        <v>Yes</v>
      </c>
      <c r="J4" t="str">
        <f t="shared" ca="1" si="7"/>
        <v>Low CIBIL</v>
      </c>
      <c r="K4">
        <f t="shared" ca="1" si="8"/>
        <v>1</v>
      </c>
      <c r="L4" s="1">
        <f t="shared" ca="1" si="9"/>
        <v>45989</v>
      </c>
    </row>
    <row r="5" spans="1:12" x14ac:dyDescent="0.3">
      <c r="A5" t="s">
        <v>31</v>
      </c>
      <c r="B5" s="1">
        <f t="shared" ca="1" si="0"/>
        <v>45970</v>
      </c>
      <c r="C5" s="2" t="s">
        <v>43</v>
      </c>
      <c r="D5">
        <f t="shared" ca="1" si="1"/>
        <v>172</v>
      </c>
      <c r="E5">
        <f t="shared" ca="1" si="2"/>
        <v>745</v>
      </c>
      <c r="F5">
        <f t="shared" ca="1" si="3"/>
        <v>1</v>
      </c>
      <c r="G5">
        <f t="shared" ca="1" si="4"/>
        <v>61</v>
      </c>
      <c r="H5" t="str">
        <f t="shared" ca="1" si="5"/>
        <v>Rejected</v>
      </c>
      <c r="I5" t="str">
        <f t="shared" ca="1" si="6"/>
        <v>Yes</v>
      </c>
      <c r="J5" t="str">
        <f t="shared" ca="1" si="7"/>
        <v>High Obligation</v>
      </c>
      <c r="K5">
        <f t="shared" ca="1" si="8"/>
        <v>4</v>
      </c>
      <c r="L5" s="1">
        <f t="shared" ca="1" si="9"/>
        <v>45974</v>
      </c>
    </row>
    <row r="6" spans="1:12" x14ac:dyDescent="0.3">
      <c r="A6" t="s">
        <v>13</v>
      </c>
      <c r="B6" s="1">
        <f t="shared" ca="1" si="0"/>
        <v>45962</v>
      </c>
      <c r="C6" s="2" t="s">
        <v>42</v>
      </c>
      <c r="D6">
        <f t="shared" ca="1" si="1"/>
        <v>59</v>
      </c>
      <c r="E6">
        <f t="shared" ca="1" si="2"/>
        <v>840</v>
      </c>
      <c r="F6">
        <f t="shared" ca="1" si="3"/>
        <v>1</v>
      </c>
      <c r="G6">
        <f t="shared" ca="1" si="4"/>
        <v>23</v>
      </c>
      <c r="H6" t="str">
        <f t="shared" ca="1" si="5"/>
        <v>Rejected</v>
      </c>
      <c r="I6" t="str">
        <f t="shared" ca="1" si="6"/>
        <v>Yes</v>
      </c>
      <c r="J6" t="str">
        <f t="shared" ca="1" si="7"/>
        <v>High Obligation</v>
      </c>
      <c r="K6">
        <f t="shared" ca="1" si="8"/>
        <v>3</v>
      </c>
      <c r="L6" s="1">
        <f t="shared" ca="1" si="9"/>
        <v>45965</v>
      </c>
    </row>
    <row r="7" spans="1:12" x14ac:dyDescent="0.3">
      <c r="A7" t="s">
        <v>25</v>
      </c>
      <c r="B7" s="1">
        <f t="shared" ca="1" si="0"/>
        <v>45978</v>
      </c>
      <c r="C7" s="2" t="s">
        <v>43</v>
      </c>
      <c r="D7">
        <f t="shared" ca="1" si="1"/>
        <v>95</v>
      </c>
      <c r="E7">
        <f t="shared" ca="1" si="2"/>
        <v>577</v>
      </c>
      <c r="F7">
        <f t="shared" ca="1" si="3"/>
        <v>3</v>
      </c>
      <c r="G7">
        <f t="shared" ca="1" si="4"/>
        <v>16</v>
      </c>
      <c r="H7" t="str">
        <f t="shared" ca="1" si="5"/>
        <v>Rejected</v>
      </c>
      <c r="I7" t="str">
        <f t="shared" ca="1" si="6"/>
        <v>No</v>
      </c>
      <c r="J7" t="str">
        <f t="shared" ca="1" si="7"/>
        <v>NA</v>
      </c>
      <c r="K7">
        <f t="shared" ca="1" si="8"/>
        <v>1</v>
      </c>
      <c r="L7" s="1">
        <f t="shared" ca="1" si="9"/>
        <v>45979</v>
      </c>
    </row>
    <row r="8" spans="1:12" x14ac:dyDescent="0.3">
      <c r="A8" t="s">
        <v>23</v>
      </c>
      <c r="B8" s="1">
        <f t="shared" ca="1" si="0"/>
        <v>45977</v>
      </c>
      <c r="C8" s="2" t="s">
        <v>43</v>
      </c>
      <c r="D8">
        <f t="shared" ca="1" si="1"/>
        <v>86</v>
      </c>
      <c r="E8">
        <f t="shared" ca="1" si="2"/>
        <v>655</v>
      </c>
      <c r="F8">
        <f t="shared" ca="1" si="3"/>
        <v>6</v>
      </c>
      <c r="G8">
        <f t="shared" ca="1" si="4"/>
        <v>18</v>
      </c>
      <c r="H8" t="str">
        <f t="shared" ca="1" si="5"/>
        <v>Rejected</v>
      </c>
      <c r="I8" t="str">
        <f t="shared" ca="1" si="6"/>
        <v>Yes</v>
      </c>
      <c r="J8" t="str">
        <f t="shared" ca="1" si="7"/>
        <v>High Obligation</v>
      </c>
      <c r="K8">
        <f t="shared" ca="1" si="8"/>
        <v>4</v>
      </c>
      <c r="L8" s="1">
        <f t="shared" ca="1" si="9"/>
        <v>45981</v>
      </c>
    </row>
    <row r="9" spans="1:12" x14ac:dyDescent="0.3">
      <c r="A9" t="s">
        <v>27</v>
      </c>
      <c r="B9" s="1">
        <f t="shared" ca="1" si="0"/>
        <v>45964</v>
      </c>
      <c r="C9" s="2" t="s">
        <v>42</v>
      </c>
      <c r="D9">
        <f t="shared" ca="1" si="1"/>
        <v>97</v>
      </c>
      <c r="E9">
        <f t="shared" ca="1" si="2"/>
        <v>661</v>
      </c>
      <c r="F9">
        <f t="shared" ca="1" si="3"/>
        <v>5</v>
      </c>
      <c r="G9">
        <f t="shared" ca="1" si="4"/>
        <v>8</v>
      </c>
      <c r="H9" t="str">
        <f t="shared" ca="1" si="5"/>
        <v>Eligible</v>
      </c>
      <c r="I9" t="str">
        <f t="shared" ca="1" si="6"/>
        <v>No</v>
      </c>
      <c r="J9" t="str">
        <f t="shared" ca="1" si="7"/>
        <v>NA</v>
      </c>
      <c r="K9">
        <f t="shared" ca="1" si="8"/>
        <v>4</v>
      </c>
      <c r="L9" s="1">
        <f t="shared" ca="1" si="9"/>
        <v>45968</v>
      </c>
    </row>
    <row r="10" spans="1:12" x14ac:dyDescent="0.3">
      <c r="A10" t="s">
        <v>29</v>
      </c>
      <c r="B10" s="1">
        <f t="shared" ca="1" si="0"/>
        <v>45973</v>
      </c>
      <c r="C10" s="2" t="s">
        <v>43</v>
      </c>
      <c r="D10">
        <f t="shared" ca="1" si="1"/>
        <v>150</v>
      </c>
      <c r="E10">
        <f t="shared" ca="1" si="2"/>
        <v>757</v>
      </c>
      <c r="F10">
        <f t="shared" ca="1" si="3"/>
        <v>3</v>
      </c>
      <c r="G10">
        <f t="shared" ca="1" si="4"/>
        <v>32</v>
      </c>
      <c r="H10" t="str">
        <f t="shared" ca="1" si="5"/>
        <v>Eligible</v>
      </c>
      <c r="I10" t="str">
        <f t="shared" ca="1" si="6"/>
        <v>No</v>
      </c>
      <c r="J10" t="str">
        <f t="shared" ca="1" si="7"/>
        <v>NA</v>
      </c>
      <c r="K10">
        <f t="shared" ca="1" si="8"/>
        <v>1</v>
      </c>
      <c r="L10" s="1">
        <f t="shared" ca="1" si="9"/>
        <v>45974</v>
      </c>
    </row>
    <row r="11" spans="1:12" x14ac:dyDescent="0.3">
      <c r="A11" t="s">
        <v>12</v>
      </c>
      <c r="B11" s="1">
        <f t="shared" ca="1" si="0"/>
        <v>45963</v>
      </c>
      <c r="C11" s="2" t="s">
        <v>41</v>
      </c>
      <c r="D11">
        <f t="shared" ca="1" si="1"/>
        <v>19</v>
      </c>
      <c r="E11">
        <f t="shared" ca="1" si="2"/>
        <v>644</v>
      </c>
      <c r="F11">
        <f t="shared" ca="1" si="3"/>
        <v>3</v>
      </c>
      <c r="G11">
        <f t="shared" ca="1" si="4"/>
        <v>9</v>
      </c>
      <c r="H11" t="str">
        <f t="shared" ca="1" si="5"/>
        <v>Eligible</v>
      </c>
      <c r="I11" t="str">
        <f t="shared" ca="1" si="6"/>
        <v>No</v>
      </c>
      <c r="J11" t="str">
        <f t="shared" ca="1" si="7"/>
        <v>NA</v>
      </c>
      <c r="K11">
        <f t="shared" ca="1" si="8"/>
        <v>1</v>
      </c>
      <c r="L11" s="1">
        <f t="shared" ca="1" si="9"/>
        <v>45964</v>
      </c>
    </row>
    <row r="12" spans="1:12" x14ac:dyDescent="0.3">
      <c r="A12" t="s">
        <v>24</v>
      </c>
      <c r="B12" s="1">
        <f t="shared" ca="1" si="0"/>
        <v>45968</v>
      </c>
      <c r="C12" s="2" t="s">
        <v>42</v>
      </c>
      <c r="D12">
        <f t="shared" ca="1" si="1"/>
        <v>125</v>
      </c>
      <c r="E12">
        <f t="shared" ca="1" si="2"/>
        <v>631</v>
      </c>
      <c r="F12">
        <f t="shared" ca="1" si="3"/>
        <v>5</v>
      </c>
      <c r="G12">
        <f t="shared" ca="1" si="4"/>
        <v>40</v>
      </c>
      <c r="H12" t="str">
        <f t="shared" ca="1" si="5"/>
        <v>Rejected</v>
      </c>
      <c r="I12" t="str">
        <f t="shared" ca="1" si="6"/>
        <v>Yes</v>
      </c>
      <c r="J12" t="str">
        <f t="shared" ca="1" si="7"/>
        <v>Low CIBIL</v>
      </c>
      <c r="K12">
        <f t="shared" ca="1" si="8"/>
        <v>7</v>
      </c>
      <c r="L12" s="1">
        <f t="shared" ca="1" si="9"/>
        <v>45975</v>
      </c>
    </row>
    <row r="13" spans="1:12" x14ac:dyDescent="0.3">
      <c r="A13" t="s">
        <v>39</v>
      </c>
      <c r="B13" s="1">
        <f t="shared" ca="1" si="0"/>
        <v>45974</v>
      </c>
      <c r="C13" s="2" t="s">
        <v>43</v>
      </c>
      <c r="D13">
        <f t="shared" ca="1" si="1"/>
        <v>184</v>
      </c>
      <c r="E13">
        <f t="shared" ca="1" si="2"/>
        <v>749</v>
      </c>
      <c r="F13">
        <f t="shared" ca="1" si="3"/>
        <v>1</v>
      </c>
      <c r="G13">
        <f t="shared" ca="1" si="4"/>
        <v>54</v>
      </c>
      <c r="H13" t="str">
        <f t="shared" ca="1" si="5"/>
        <v>Rejected</v>
      </c>
      <c r="I13" t="str">
        <f t="shared" ca="1" si="6"/>
        <v>Yes</v>
      </c>
      <c r="J13" t="str">
        <f t="shared" ca="1" si="7"/>
        <v>High Obligation</v>
      </c>
      <c r="K13">
        <f t="shared" ca="1" si="8"/>
        <v>4</v>
      </c>
      <c r="L13" s="1">
        <f t="shared" ca="1" si="9"/>
        <v>45978</v>
      </c>
    </row>
    <row r="14" spans="1:12" x14ac:dyDescent="0.3">
      <c r="A14" t="s">
        <v>30</v>
      </c>
      <c r="B14" s="1">
        <f t="shared" ca="1" si="0"/>
        <v>45991</v>
      </c>
      <c r="C14" s="2" t="s">
        <v>41</v>
      </c>
      <c r="D14">
        <f t="shared" ca="1" si="1"/>
        <v>155</v>
      </c>
      <c r="E14">
        <f t="shared" ca="1" si="2"/>
        <v>777</v>
      </c>
      <c r="F14">
        <f t="shared" ca="1" si="3"/>
        <v>6</v>
      </c>
      <c r="G14">
        <f t="shared" ca="1" si="4"/>
        <v>33</v>
      </c>
      <c r="H14" t="str">
        <f t="shared" ca="1" si="5"/>
        <v>Rejected</v>
      </c>
      <c r="I14" t="str">
        <f t="shared" ca="1" si="6"/>
        <v>Yes</v>
      </c>
      <c r="J14" t="str">
        <f t="shared" ca="1" si="7"/>
        <v>High Obligation</v>
      </c>
      <c r="K14">
        <f t="shared" ca="1" si="8"/>
        <v>7</v>
      </c>
      <c r="L14" s="1">
        <f t="shared" ca="1" si="9"/>
        <v>45998</v>
      </c>
    </row>
    <row r="15" spans="1:12" x14ac:dyDescent="0.3">
      <c r="A15" t="s">
        <v>40</v>
      </c>
      <c r="B15" s="1">
        <f t="shared" ca="1" si="0"/>
        <v>45986</v>
      </c>
      <c r="C15" s="2" t="s">
        <v>41</v>
      </c>
      <c r="D15">
        <f t="shared" ca="1" si="1"/>
        <v>68</v>
      </c>
      <c r="E15">
        <f t="shared" ca="1" si="2"/>
        <v>558</v>
      </c>
      <c r="F15">
        <f t="shared" ca="1" si="3"/>
        <v>3</v>
      </c>
      <c r="G15">
        <f t="shared" ca="1" si="4"/>
        <v>34</v>
      </c>
      <c r="H15" t="str">
        <f t="shared" ca="1" si="5"/>
        <v>Eligible</v>
      </c>
      <c r="I15" t="str">
        <f t="shared" ca="1" si="6"/>
        <v>No</v>
      </c>
      <c r="J15" t="str">
        <f t="shared" ca="1" si="7"/>
        <v>NA</v>
      </c>
      <c r="K15">
        <f t="shared" ca="1" si="8"/>
        <v>7</v>
      </c>
      <c r="L15" s="1">
        <f t="shared" ca="1" si="9"/>
        <v>45993</v>
      </c>
    </row>
    <row r="16" spans="1:12" x14ac:dyDescent="0.3">
      <c r="A16" t="s">
        <v>36</v>
      </c>
      <c r="B16" s="1">
        <f t="shared" ca="1" si="0"/>
        <v>45983</v>
      </c>
      <c r="C16" s="2" t="s">
        <v>41</v>
      </c>
      <c r="D16">
        <f t="shared" ca="1" si="1"/>
        <v>66</v>
      </c>
      <c r="E16">
        <f t="shared" ca="1" si="2"/>
        <v>758</v>
      </c>
      <c r="F16">
        <f t="shared" ca="1" si="3"/>
        <v>1</v>
      </c>
      <c r="G16">
        <f t="shared" ca="1" si="4"/>
        <v>43</v>
      </c>
      <c r="H16" t="str">
        <f t="shared" ca="1" si="5"/>
        <v>Rejected</v>
      </c>
      <c r="I16" t="str">
        <f t="shared" ca="1" si="6"/>
        <v>Yes</v>
      </c>
      <c r="J16" t="str">
        <f t="shared" ca="1" si="7"/>
        <v>High Obligation</v>
      </c>
      <c r="K16">
        <f t="shared" ca="1" si="8"/>
        <v>5</v>
      </c>
      <c r="L16" s="1">
        <f t="shared" ca="1" si="9"/>
        <v>45988</v>
      </c>
    </row>
    <row r="17" spans="1:12" x14ac:dyDescent="0.3">
      <c r="A17" t="s">
        <v>35</v>
      </c>
      <c r="B17" s="1">
        <f t="shared" ca="1" si="0"/>
        <v>45982</v>
      </c>
      <c r="C17" s="2" t="s">
        <v>42</v>
      </c>
      <c r="D17">
        <f t="shared" ca="1" si="1"/>
        <v>95</v>
      </c>
      <c r="E17">
        <f t="shared" ca="1" si="2"/>
        <v>794</v>
      </c>
      <c r="F17">
        <f t="shared" ca="1" si="3"/>
        <v>3</v>
      </c>
      <c r="G17">
        <f t="shared" ca="1" si="4"/>
        <v>55</v>
      </c>
      <c r="H17" t="str">
        <f t="shared" ca="1" si="5"/>
        <v>Rejected</v>
      </c>
      <c r="I17" t="str">
        <f t="shared" ca="1" si="6"/>
        <v>No</v>
      </c>
      <c r="J17" t="str">
        <f t="shared" ca="1" si="7"/>
        <v>NA</v>
      </c>
      <c r="K17">
        <f t="shared" ca="1" si="8"/>
        <v>1</v>
      </c>
      <c r="L17" s="1">
        <f t="shared" ca="1" si="9"/>
        <v>45983</v>
      </c>
    </row>
    <row r="18" spans="1:12" x14ac:dyDescent="0.3">
      <c r="A18" t="s">
        <v>28</v>
      </c>
      <c r="B18" s="1">
        <f t="shared" ca="1" si="0"/>
        <v>45982</v>
      </c>
      <c r="C18" s="2" t="s">
        <v>41</v>
      </c>
      <c r="D18">
        <f t="shared" ca="1" si="1"/>
        <v>97</v>
      </c>
      <c r="E18">
        <f t="shared" ca="1" si="2"/>
        <v>556</v>
      </c>
      <c r="F18">
        <f t="shared" ca="1" si="3"/>
        <v>10</v>
      </c>
      <c r="G18">
        <f t="shared" ca="1" si="4"/>
        <v>21</v>
      </c>
      <c r="H18" t="str">
        <f t="shared" ca="1" si="5"/>
        <v>Eligible</v>
      </c>
      <c r="I18" t="str">
        <f t="shared" ca="1" si="6"/>
        <v>Yes</v>
      </c>
      <c r="J18" t="str">
        <f t="shared" ca="1" si="7"/>
        <v>Low CIBIL</v>
      </c>
      <c r="K18">
        <f t="shared" ca="1" si="8"/>
        <v>5</v>
      </c>
      <c r="L18" s="1">
        <f t="shared" ca="1" si="9"/>
        <v>45987</v>
      </c>
    </row>
    <row r="19" spans="1:12" x14ac:dyDescent="0.3">
      <c r="A19" t="s">
        <v>14</v>
      </c>
      <c r="B19" s="1">
        <f t="shared" ca="1" si="0"/>
        <v>45981</v>
      </c>
      <c r="C19" s="2" t="s">
        <v>43</v>
      </c>
      <c r="D19">
        <f t="shared" ca="1" si="1"/>
        <v>113</v>
      </c>
      <c r="E19">
        <f t="shared" ca="1" si="2"/>
        <v>775</v>
      </c>
      <c r="F19">
        <f t="shared" ca="1" si="3"/>
        <v>1</v>
      </c>
      <c r="G19">
        <f t="shared" ca="1" si="4"/>
        <v>9</v>
      </c>
      <c r="H19" t="str">
        <f t="shared" ca="1" si="5"/>
        <v>Rejected</v>
      </c>
      <c r="I19" t="str">
        <f t="shared" ca="1" si="6"/>
        <v>Yes</v>
      </c>
      <c r="J19" t="str">
        <f t="shared" ca="1" si="7"/>
        <v>High Obligation</v>
      </c>
      <c r="K19">
        <f t="shared" ca="1" si="8"/>
        <v>3</v>
      </c>
      <c r="L19" s="1">
        <f t="shared" ca="1" si="9"/>
        <v>45984</v>
      </c>
    </row>
    <row r="20" spans="1:12" x14ac:dyDescent="0.3">
      <c r="A20" t="s">
        <v>18</v>
      </c>
      <c r="B20" s="1">
        <f t="shared" ca="1" si="0"/>
        <v>45965</v>
      </c>
      <c r="C20" s="2" t="s">
        <v>42</v>
      </c>
      <c r="D20">
        <f t="shared" ca="1" si="1"/>
        <v>93</v>
      </c>
      <c r="E20">
        <f t="shared" ca="1" si="2"/>
        <v>825</v>
      </c>
      <c r="F20">
        <f t="shared" ca="1" si="3"/>
        <v>4</v>
      </c>
      <c r="G20">
        <f t="shared" ca="1" si="4"/>
        <v>18</v>
      </c>
      <c r="H20" t="str">
        <f t="shared" ca="1" si="5"/>
        <v>Rejected</v>
      </c>
      <c r="I20" t="str">
        <f t="shared" ca="1" si="6"/>
        <v>No</v>
      </c>
      <c r="J20" t="str">
        <f t="shared" ca="1" si="7"/>
        <v>NA</v>
      </c>
      <c r="K20">
        <f t="shared" ca="1" si="8"/>
        <v>5</v>
      </c>
      <c r="L20" s="1">
        <f t="shared" ca="1" si="9"/>
        <v>45970</v>
      </c>
    </row>
    <row r="21" spans="1:12" x14ac:dyDescent="0.3">
      <c r="A21" t="s">
        <v>22</v>
      </c>
      <c r="B21" s="1">
        <f t="shared" ca="1" si="0"/>
        <v>45975</v>
      </c>
      <c r="C21" s="2" t="s">
        <v>43</v>
      </c>
      <c r="D21">
        <f t="shared" ca="1" si="1"/>
        <v>20</v>
      </c>
      <c r="E21">
        <f t="shared" ca="1" si="2"/>
        <v>729</v>
      </c>
      <c r="F21">
        <f t="shared" ca="1" si="3"/>
        <v>9</v>
      </c>
      <c r="G21">
        <f t="shared" ca="1" si="4"/>
        <v>23</v>
      </c>
      <c r="H21" t="str">
        <f t="shared" ca="1" si="5"/>
        <v>Eligible</v>
      </c>
      <c r="I21" t="str">
        <f t="shared" ca="1" si="6"/>
        <v>No</v>
      </c>
      <c r="J21" t="str">
        <f t="shared" ca="1" si="7"/>
        <v>NA</v>
      </c>
      <c r="K21">
        <f t="shared" ca="1" si="8"/>
        <v>3</v>
      </c>
      <c r="L21" s="1">
        <f t="shared" ca="1" si="9"/>
        <v>45978</v>
      </c>
    </row>
    <row r="22" spans="1:12" x14ac:dyDescent="0.3">
      <c r="A22" t="s">
        <v>38</v>
      </c>
      <c r="B22" s="1">
        <f t="shared" ca="1" si="0"/>
        <v>45985</v>
      </c>
      <c r="C22" s="2" t="s">
        <v>42</v>
      </c>
      <c r="D22">
        <f t="shared" ca="1" si="1"/>
        <v>154</v>
      </c>
      <c r="E22">
        <f t="shared" ca="1" si="2"/>
        <v>820</v>
      </c>
      <c r="F22">
        <f t="shared" ca="1" si="3"/>
        <v>10</v>
      </c>
      <c r="G22">
        <f t="shared" ca="1" si="4"/>
        <v>66</v>
      </c>
      <c r="H22" t="str">
        <f t="shared" ca="1" si="5"/>
        <v>Rejected</v>
      </c>
      <c r="I22" t="str">
        <f t="shared" ca="1" si="6"/>
        <v>No</v>
      </c>
      <c r="J22" t="str">
        <f t="shared" ca="1" si="7"/>
        <v>NA</v>
      </c>
      <c r="K22">
        <f t="shared" ca="1" si="8"/>
        <v>7</v>
      </c>
      <c r="L22" s="1">
        <f t="shared" ca="1" si="9"/>
        <v>45992</v>
      </c>
    </row>
    <row r="23" spans="1:12" x14ac:dyDescent="0.3">
      <c r="A23" t="s">
        <v>19</v>
      </c>
      <c r="B23" s="1">
        <f t="shared" ca="1" si="0"/>
        <v>45984</v>
      </c>
      <c r="C23" s="2" t="s">
        <v>42</v>
      </c>
      <c r="D23">
        <f t="shared" ca="1" si="1"/>
        <v>96</v>
      </c>
      <c r="E23">
        <f t="shared" ca="1" si="2"/>
        <v>707</v>
      </c>
      <c r="F23">
        <f t="shared" ca="1" si="3"/>
        <v>5</v>
      </c>
      <c r="G23">
        <f t="shared" ca="1" si="4"/>
        <v>16</v>
      </c>
      <c r="H23" t="str">
        <f t="shared" ca="1" si="5"/>
        <v>Eligible</v>
      </c>
      <c r="I23" t="str">
        <f t="shared" ca="1" si="6"/>
        <v>Yes</v>
      </c>
      <c r="J23" t="str">
        <f t="shared" ca="1" si="7"/>
        <v>High Obligation</v>
      </c>
      <c r="K23">
        <f t="shared" ca="1" si="8"/>
        <v>7</v>
      </c>
      <c r="L23" s="1">
        <f t="shared" ca="1" si="9"/>
        <v>45991</v>
      </c>
    </row>
    <row r="24" spans="1:12" x14ac:dyDescent="0.3">
      <c r="A24" t="s">
        <v>34</v>
      </c>
      <c r="B24" s="1">
        <f t="shared" ca="1" si="0"/>
        <v>45970</v>
      </c>
      <c r="C24" s="2" t="s">
        <v>41</v>
      </c>
      <c r="D24">
        <f t="shared" ca="1" si="1"/>
        <v>117</v>
      </c>
      <c r="E24">
        <f t="shared" ca="1" si="2"/>
        <v>640</v>
      </c>
      <c r="F24">
        <f t="shared" ca="1" si="3"/>
        <v>5</v>
      </c>
      <c r="G24">
        <f t="shared" ca="1" si="4"/>
        <v>3</v>
      </c>
      <c r="H24" t="str">
        <f t="shared" ca="1" si="5"/>
        <v>Eligible</v>
      </c>
      <c r="I24" t="str">
        <f t="shared" ca="1" si="6"/>
        <v>No</v>
      </c>
      <c r="J24" t="str">
        <f t="shared" ca="1" si="7"/>
        <v>NA</v>
      </c>
      <c r="K24">
        <f t="shared" ca="1" si="8"/>
        <v>1</v>
      </c>
      <c r="L24" s="1">
        <f t="shared" ca="1" si="9"/>
        <v>45971</v>
      </c>
    </row>
    <row r="25" spans="1:12" x14ac:dyDescent="0.3">
      <c r="A25" t="s">
        <v>33</v>
      </c>
      <c r="B25" s="1">
        <f t="shared" ca="1" si="0"/>
        <v>45980</v>
      </c>
      <c r="C25" s="2" t="s">
        <v>41</v>
      </c>
      <c r="D25">
        <f t="shared" ca="1" si="1"/>
        <v>89</v>
      </c>
      <c r="E25">
        <f t="shared" ca="1" si="2"/>
        <v>818</v>
      </c>
      <c r="F25">
        <f t="shared" ca="1" si="3"/>
        <v>1</v>
      </c>
      <c r="G25">
        <f t="shared" ca="1" si="4"/>
        <v>51</v>
      </c>
      <c r="H25" t="str">
        <f t="shared" ca="1" si="5"/>
        <v>Rejected</v>
      </c>
      <c r="I25" t="str">
        <f t="shared" ca="1" si="6"/>
        <v>Yes</v>
      </c>
      <c r="J25" t="str">
        <f t="shared" ca="1" si="7"/>
        <v>High Obligation</v>
      </c>
      <c r="K25">
        <f t="shared" ca="1" si="8"/>
        <v>5</v>
      </c>
      <c r="L25" s="1">
        <f t="shared" ca="1" si="9"/>
        <v>45985</v>
      </c>
    </row>
    <row r="26" spans="1:12" x14ac:dyDescent="0.3">
      <c r="A26" t="s">
        <v>26</v>
      </c>
      <c r="B26" s="1">
        <f t="shared" ca="1" si="0"/>
        <v>45967</v>
      </c>
      <c r="C26" s="2" t="s">
        <v>42</v>
      </c>
      <c r="D26">
        <f t="shared" ca="1" si="1"/>
        <v>77</v>
      </c>
      <c r="E26">
        <f t="shared" ca="1" si="2"/>
        <v>840</v>
      </c>
      <c r="F26">
        <f t="shared" ca="1" si="3"/>
        <v>6</v>
      </c>
      <c r="G26">
        <f t="shared" ca="1" si="4"/>
        <v>47</v>
      </c>
      <c r="H26" t="str">
        <f t="shared" ca="1" si="5"/>
        <v>Rejected</v>
      </c>
      <c r="I26" t="str">
        <f t="shared" ca="1" si="6"/>
        <v>Yes</v>
      </c>
      <c r="J26" t="str">
        <f t="shared" ca="1" si="7"/>
        <v>High Obligation</v>
      </c>
      <c r="K26">
        <f t="shared" ca="1" si="8"/>
        <v>5</v>
      </c>
      <c r="L26" s="1">
        <f t="shared" ca="1" si="9"/>
        <v>45972</v>
      </c>
    </row>
    <row r="27" spans="1:12" x14ac:dyDescent="0.3">
      <c r="A27" t="s">
        <v>15</v>
      </c>
      <c r="B27" s="1">
        <f t="shared" ca="1" si="0"/>
        <v>45976</v>
      </c>
      <c r="C27" s="2" t="s">
        <v>41</v>
      </c>
      <c r="D27">
        <f t="shared" ca="1" si="1"/>
        <v>113</v>
      </c>
      <c r="E27">
        <f t="shared" ca="1" si="2"/>
        <v>656</v>
      </c>
      <c r="F27">
        <f t="shared" ca="1" si="3"/>
        <v>2</v>
      </c>
      <c r="G27">
        <f t="shared" ca="1" si="4"/>
        <v>75</v>
      </c>
      <c r="H27" t="str">
        <f t="shared" ca="1" si="5"/>
        <v>Eligible</v>
      </c>
      <c r="I27" t="str">
        <f t="shared" ca="1" si="6"/>
        <v>No</v>
      </c>
      <c r="J27" t="str">
        <f t="shared" ca="1" si="7"/>
        <v>NA</v>
      </c>
      <c r="K27">
        <f t="shared" ca="1" si="8"/>
        <v>4</v>
      </c>
      <c r="L27" s="1">
        <f t="shared" ca="1" si="9"/>
        <v>45980</v>
      </c>
    </row>
    <row r="28" spans="1:12" x14ac:dyDescent="0.3">
      <c r="A28" t="s">
        <v>20</v>
      </c>
      <c r="B28" s="1">
        <f t="shared" ca="1" si="0"/>
        <v>45981</v>
      </c>
      <c r="C28" s="2" t="s">
        <v>43</v>
      </c>
      <c r="D28">
        <f t="shared" ca="1" si="1"/>
        <v>104</v>
      </c>
      <c r="E28">
        <f t="shared" ca="1" si="2"/>
        <v>680</v>
      </c>
      <c r="F28">
        <f t="shared" ca="1" si="3"/>
        <v>10</v>
      </c>
      <c r="G28">
        <f t="shared" ca="1" si="4"/>
        <v>44</v>
      </c>
      <c r="H28" t="str">
        <f t="shared" ca="1" si="5"/>
        <v>Rejected</v>
      </c>
      <c r="I28" t="str">
        <f t="shared" ca="1" si="6"/>
        <v>Yes</v>
      </c>
      <c r="J28" t="str">
        <f t="shared" ca="1" si="7"/>
        <v>High Obligation</v>
      </c>
      <c r="K28">
        <f t="shared" ca="1" si="8"/>
        <v>4</v>
      </c>
      <c r="L28" s="1">
        <f t="shared" ca="1" si="9"/>
        <v>45985</v>
      </c>
    </row>
    <row r="29" spans="1:12" x14ac:dyDescent="0.3">
      <c r="A29" t="s">
        <v>32</v>
      </c>
      <c r="B29" s="1">
        <f t="shared" ca="1" si="0"/>
        <v>45977</v>
      </c>
      <c r="C29" s="2" t="s">
        <v>43</v>
      </c>
      <c r="D29">
        <f t="shared" ca="1" si="1"/>
        <v>93</v>
      </c>
      <c r="E29">
        <f t="shared" ca="1" si="2"/>
        <v>758</v>
      </c>
      <c r="F29">
        <f t="shared" ca="1" si="3"/>
        <v>5</v>
      </c>
      <c r="G29">
        <f t="shared" ca="1" si="4"/>
        <v>62</v>
      </c>
      <c r="H29" t="str">
        <f t="shared" ca="1" si="5"/>
        <v>Eligible</v>
      </c>
      <c r="I29" t="str">
        <f t="shared" ca="1" si="6"/>
        <v>No</v>
      </c>
      <c r="J29" t="str">
        <f t="shared" ca="1" si="7"/>
        <v>NA</v>
      </c>
      <c r="K29">
        <f t="shared" ca="1" si="8"/>
        <v>3</v>
      </c>
      <c r="L29" s="1">
        <f t="shared" ca="1" si="9"/>
        <v>45980</v>
      </c>
    </row>
    <row r="30" spans="1:12" x14ac:dyDescent="0.3">
      <c r="A30" t="s">
        <v>16</v>
      </c>
      <c r="B30" s="1">
        <f t="shared" ca="1" si="0"/>
        <v>45987</v>
      </c>
      <c r="C30" s="2" t="s">
        <v>41</v>
      </c>
      <c r="D30">
        <f t="shared" ca="1" si="1"/>
        <v>136</v>
      </c>
      <c r="E30">
        <f t="shared" ca="1" si="2"/>
        <v>748</v>
      </c>
      <c r="F30">
        <f t="shared" ca="1" si="3"/>
        <v>3</v>
      </c>
      <c r="G30">
        <f t="shared" ca="1" si="4"/>
        <v>20</v>
      </c>
      <c r="H30" t="str">
        <f t="shared" ca="1" si="5"/>
        <v>Eligible</v>
      </c>
      <c r="I30" t="str">
        <f t="shared" ca="1" si="6"/>
        <v>Yes</v>
      </c>
      <c r="J30" t="str">
        <f t="shared" ca="1" si="7"/>
        <v>High Obligation</v>
      </c>
      <c r="K30">
        <f t="shared" ca="1" si="8"/>
        <v>5</v>
      </c>
      <c r="L30" s="1">
        <f t="shared" ca="1" si="9"/>
        <v>45992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BA9B24-2D4A-43C7-BC7B-A86C633A77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Loan_Data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SAKSCHI SHAW</dc:creator>
  <cp:lastModifiedBy>SAKSCHI SHAW</cp:lastModifiedBy>
  <dcterms:created xsi:type="dcterms:W3CDTF">2026-02-08T17:46:42Z</dcterms:created>
  <dcterms:modified xsi:type="dcterms:W3CDTF">2026-02-09T15:30:32Z</dcterms:modified>
</cp:coreProperties>
</file>